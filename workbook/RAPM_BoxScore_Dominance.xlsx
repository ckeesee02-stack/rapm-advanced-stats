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" sheetId="2" state="visible" r:id="rId4"/>
    <sheet name="Answers" sheetId="3" state="visible" r:id="rId5"/>
    <sheet name="Model_OLS" sheetId="4" state="visible" r:id="rId6"/>
    <sheet name="RAPM_Boxplot" sheetId="5" state="visible" r:id="rId7"/>
    <sheet name="Correlations" sheetId="6" state="visible" r:id="rId8"/>
    <sheet name="Dominance_General" sheetId="7" state="visible" r:id="rId9"/>
    <sheet name="Dominance_Conditional" sheetId="8" state="visible" r:id="rId10"/>
    <sheet name="Dominance_Pairs" sheetId="9" state="visible" r:id="rId11"/>
    <sheet name="Graphic_Numbers" sheetId="10" state="visible" r:id="rId12"/>
    <sheet name="Why_No_MPG" sheetId="11" state="visible" r:id="rId13"/>
    <sheet name="Rebounding_Decision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Source: nbarapm.com Pure 5-year RAPM ending 2026, as collected in the Advanced 5yr RAPM workbook (Data_Modeled sheet).</t>
        </r>
      </text>
    </comment>
    <comment ref="G1" authorId="0">
      <text>
        <r>
          <rPr>
            <sz val="10"/>
            <rFont val="Arial"/>
            <family val="2"/>
          </rPr>
          <t xml:space="preserve">Basketball-Reference Advanced rates, minutes-weighted average of the 5 seasons, as collected and verified in the Advanced 5yr RAPM workbook.</t>
        </r>
      </text>
    </comment>
    <comment ref="S1" authorId="0">
      <text>
        <r>
          <rPr>
            <sz val="10"/>
            <rFont val="Arial"/>
            <family val="2"/>
          </rPr>
          <t xml:space="preserve">Source: nbarapm.com Pure 5-year RAPM, offensive and defensive components, from the Advanced 5yr RAPM workbook (Data_Modeled). RAPM5 = ORAPM5 + DRAPM5 to rounding.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Hardcoded: exact leave-one-out R² from Python (PRESS = sum of (e_i / (1 - h_ii))²). Excel has no built-in for this.</t>
        </r>
      </text>
    </comment>
    <comment ref="B9" authorId="0">
      <text>
        <r>
          <rPr>
            <sz val="10"/>
            <rFont val="Arial"/>
            <family val="2"/>
          </rPr>
          <t xml:space="preserve">Hardcoded: mean of 200 repeated 10-fold cross-validations in Python (numpy seed 0).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" authorId="0">
      <text>
        <r>
          <rPr>
            <sz val="10"/>
            <rFont val="Arial"/>
            <family val="2"/>
          </rPr>
          <t xml:space="preserve">Hardcoded: variance inflation factors computed in Python (1 / (1 - R² of each predictor on the other 10)).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" authorId="0">
      <text>
        <r>
          <rPr>
            <sz val="10"/>
            <rFont val="Arial"/>
            <family val="2"/>
          </rPr>
          <t xml:space="preserve">Hardcoded: exact general dominance from Python. R² was computed for all 512 subsets of the 9 predictors; each weight is the average of the 9 conditional values on Dominance_Conditional.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Hardcoded from the verified Advanced 5yr RAPM workbook (Answers and Sensitivity_Extra sheets; leave-one-out recomputed and matched).</t>
        </r>
      </text>
    </comment>
  </commentList>
</comments>
</file>

<file path=xl/sharedStrings.xml><?xml version="1.0" encoding="utf-8"?>
<sst xmlns="http://schemas.openxmlformats.org/spreadsheetml/2006/main" count="674" uniqueCount="502">
  <si>
    <t xml:space="preserve">What explains 5-year RAPM? Box-score skill stats, R² and dominance analysis</t>
  </si>
  <si>
    <t xml:space="preserve">Question</t>
  </si>
  <si>
    <t xml:space="preserve">How much of 5-year player impact (RAPM) can Basketball-Reference Advanced box-score rates explain, and which stats carry that explained share?</t>
  </si>
  <si>
    <t xml:space="preserve">Target</t>
  </si>
  <si>
    <t xml:space="preserve">nbarapm.com Pure 5-year RAPM ending 2026 (window 2021-22 to 2025-26). nbarapm.com describes its RAPM as built from "nothing but the scoreboard and who was on the floor, no box score at all".</t>
  </si>
  <si>
    <t xml:space="preserve">Predictors (9)</t>
  </si>
  <si>
    <t xml:space="preserve">Basketball-Reference Advanced rates, averaged over the 5 seasons weighted by each season's minutes: TS%, 3PAr, FTr, TRB%, AST%, STL%, BLK%, TOV%, USG%. MPG is excluded (see Why_No_MPG). Rebounding enters once, as TRB%; ORB% and DRB% are left out because TRB% is built from them (see Rebounding_Decision).</t>
  </si>
  <si>
    <t xml:space="preserve">Sample</t>
  </si>
  <si>
    <t xml:space="preserve">242 players who appeared in all 5 seasons, with 2,500+ total minutes and 5,000+ RAPM possessions over the window. Data are copied unchanged from the verified Advanced 5yr RAPM workbook (Data_Modeled sheet).</t>
  </si>
  <si>
    <t xml:space="preserve">Estimator</t>
  </si>
  <si>
    <t xml:space="preserve">Ordinary least squares with an intercept.</t>
  </si>
  <si>
    <t xml:space="preserve">Fit</t>
  </si>
  <si>
    <t xml:space="preserve">In-sample R² and F test are live LINEST formulas on the Data sheet. Out-of-sample fit is leave-one-out cross-validated R² (exact PRESS formula), confirmed by 200 repeats of 10-fold cross-validation.</t>
  </si>
  <si>
    <t xml:space="preserve">Dominance analysis</t>
  </si>
  <si>
    <t xml:space="preserve">Exact Budescu / Azen-Budescu dominance analysis: R² computed for all 512 subsets of the 9 predictors. Conditional dominance = average R² a stat adds at each model size k (0 to 8 other stats already in). General dominance = average of those 9 values; the weights sum exactly to the full-model R².</t>
  </si>
  <si>
    <t xml:space="preserve">How to read the shares</t>
  </si>
  <si>
    <t xml:space="preserve">General dominance weights can be read two ways: as a share of ALL the variance in RAPM (they sum to R² = 45.0%), or as a share of R² (they sum to 100%). The X graphic uses share of all variance.</t>
  </si>
  <si>
    <t xml:space="preserve">Colour key</t>
  </si>
  <si>
    <t xml:space="preserve">Blue text = hardcoded input computed outside Excel (dominance weights, cross-validation), each with a note. Black = Excel formula. Green = formula linking another sheet. Yellow fill = headline result.</t>
  </si>
  <si>
    <t xml:space="preserve">Sheets</t>
  </si>
  <si>
    <t xml:space="preserve">Answers: headline results. Data: the 242 players. RAPM_Boxplot: box plot values with proof. Correlations: 15 x 15 correlation matrix. Model_OLS: coefficients, standard errors, p-values, standardised betas, VIF. Dominance_General: weights, shares, ranks. Dominance_Conditional: the 9 x 9 conditional matrix. Dominance_Pairs: complete and conditional dominance verdicts. Graphic_Numbers: every number on the X image, traced to its source. Why_No_MPG: comparison with the 12-predictor model. Rebounding_Decision: why rebounding enters once, as TRB%.</t>
  </si>
  <si>
    <t xml:space="preserve">Limits</t>
  </si>
  <si>
    <t xml:space="preserve">Only players who lasted all 5 seasons (range restriction). Linear model, no position control. Rebounding is measured once (TRB%) to avoid counting it twice. Unexplained variance includes RAPM's own estimation noise, which this study does not measure.</t>
  </si>
  <si>
    <t xml:space="preserve">nba_id</t>
  </si>
  <si>
    <t xml:space="preserve">Player</t>
  </si>
  <si>
    <t xml:space="preserve">Games (5 yr)</t>
  </si>
  <si>
    <t xml:space="preserve">Minutes (5 yr)</t>
  </si>
  <si>
    <t xml:space="preserve">RAPM possessions</t>
  </si>
  <si>
    <t xml:space="preserve">RAPM5 (target)</t>
  </si>
  <si>
    <t xml:space="preserve">TS%</t>
  </si>
  <si>
    <t xml:space="preserve">3PAr</t>
  </si>
  <si>
    <t xml:space="preserve">FTr</t>
  </si>
  <si>
    <t xml:space="preserve">TRB%</t>
  </si>
  <si>
    <t xml:space="preserve">AST%</t>
  </si>
  <si>
    <t xml:space="preserve">STL%</t>
  </si>
  <si>
    <t xml:space="preserve">BLK%</t>
  </si>
  <si>
    <t xml:space="preserve">TOV%</t>
  </si>
  <si>
    <t xml:space="preserve">USG%</t>
  </si>
  <si>
    <t xml:space="preserve">MPG (not in model)</t>
  </si>
  <si>
    <t xml:space="preserve">ORB% (not in model)</t>
  </si>
  <si>
    <t xml:space="preserve">DRB% (not in model)</t>
  </si>
  <si>
    <t xml:space="preserve">ORAPM5 (offense)</t>
  </si>
  <si>
    <t xml:space="preserve">DRAPM5 (defense)</t>
  </si>
  <si>
    <t xml:space="preserve">LeBron James</t>
  </si>
  <si>
    <t xml:space="preserve">Chris Paul</t>
  </si>
  <si>
    <t xml:space="preserve">Kyle Lowry</t>
  </si>
  <si>
    <t xml:space="preserve">Kevin Durant</t>
  </si>
  <si>
    <t xml:space="preserve">Al Horford</t>
  </si>
  <si>
    <t xml:space="preserve">Mike Conley</t>
  </si>
  <si>
    <t xml:space="preserve">Jeff Green</t>
  </si>
  <si>
    <t xml:space="preserve">Russell Westbrook</t>
  </si>
  <si>
    <t xml:space="preserve">Kevin Love</t>
  </si>
  <si>
    <t xml:space="preserve">Eric Gordon</t>
  </si>
  <si>
    <t xml:space="preserve">Brook Lopez</t>
  </si>
  <si>
    <t xml:space="preserve">Nicolas Batum</t>
  </si>
  <si>
    <t xml:space="preserve">James Harden</t>
  </si>
  <si>
    <t xml:space="preserve">Stephen Curry</t>
  </si>
  <si>
    <t xml:space="preserve">DeMar DeRozan</t>
  </si>
  <si>
    <t xml:space="preserve">Jrue Holiday</t>
  </si>
  <si>
    <t xml:space="preserve">Paul George</t>
  </si>
  <si>
    <t xml:space="preserve">Jonas Valanciunas</t>
  </si>
  <si>
    <t xml:space="preserve">Bismack Biyombo</t>
  </si>
  <si>
    <t xml:space="preserve">Klay Thompson</t>
  </si>
  <si>
    <t xml:space="preserve">Nikola Vučević</t>
  </si>
  <si>
    <t xml:space="preserve">Tobias Harris</t>
  </si>
  <si>
    <t xml:space="preserve">Jimmy Butler III</t>
  </si>
  <si>
    <t xml:space="preserve">Anthony Davis</t>
  </si>
  <si>
    <t xml:space="preserve">Bradley Beal</t>
  </si>
  <si>
    <t xml:space="preserve">Andre Drummond</t>
  </si>
  <si>
    <t xml:space="preserve">Harrison Barnes</t>
  </si>
  <si>
    <t xml:space="preserve">Draymond Green</t>
  </si>
  <si>
    <t xml:space="preserve">Khris Middleton</t>
  </si>
  <si>
    <t xml:space="preserve">CJ McCollum</t>
  </si>
  <si>
    <t xml:space="preserve">Dennis Schröder</t>
  </si>
  <si>
    <t xml:space="preserve">Kelly Olynyk</t>
  </si>
  <si>
    <t xml:space="preserve">Kentavious Caldwell-Pope</t>
  </si>
  <si>
    <t xml:space="preserve">Mason Plumlee</t>
  </si>
  <si>
    <t xml:space="preserve">Rudy Gobert</t>
  </si>
  <si>
    <t xml:space="preserve">Tim Hardaway Jr.</t>
  </si>
  <si>
    <t xml:space="preserve">Giannis Antetokounmpo</t>
  </si>
  <si>
    <t xml:space="preserve">Seth Curry</t>
  </si>
  <si>
    <t xml:space="preserve">Zach LaVine</t>
  </si>
  <si>
    <t xml:space="preserve">Jordan Clarkson</t>
  </si>
  <si>
    <t xml:space="preserve">Gary Harris</t>
  </si>
  <si>
    <t xml:space="preserve">Jerami Grant</t>
  </si>
  <si>
    <t xml:space="preserve">Doug McDermott</t>
  </si>
  <si>
    <t xml:space="preserve">Aaron Gordon</t>
  </si>
  <si>
    <t xml:space="preserve">Marcus Smart</t>
  </si>
  <si>
    <t xml:space="preserve">Kyle Anderson</t>
  </si>
  <si>
    <t xml:space="preserve">Dwight Powell</t>
  </si>
  <si>
    <t xml:space="preserve">Julius Randle</t>
  </si>
  <si>
    <t xml:space="preserve">Andrew Wiggins</t>
  </si>
  <si>
    <t xml:space="preserve">Joel Embiid</t>
  </si>
  <si>
    <t xml:space="preserve">Clint Capela</t>
  </si>
  <si>
    <t xml:space="preserve">Bogdan Bogdanović</t>
  </si>
  <si>
    <t xml:space="preserve">Jusuf Nurkić</t>
  </si>
  <si>
    <t xml:space="preserve">Nikola Jokić</t>
  </si>
  <si>
    <t xml:space="preserve">Kristaps Porziņģis</t>
  </si>
  <si>
    <t xml:space="preserve">Joe Ingles</t>
  </si>
  <si>
    <t xml:space="preserve">T.J. McConnell</t>
  </si>
  <si>
    <t xml:space="preserve">Tyus Jones</t>
  </si>
  <si>
    <t xml:space="preserve">D'Angelo Russell</t>
  </si>
  <si>
    <t xml:space="preserve">Karl-Anthony Towns</t>
  </si>
  <si>
    <t xml:space="preserve">Kelly Oubre Jr.</t>
  </si>
  <si>
    <t xml:space="preserve">Devin Booker</t>
  </si>
  <si>
    <t xml:space="preserve">Cameron Payne</t>
  </si>
  <si>
    <t xml:space="preserve">Myles Turner</t>
  </si>
  <si>
    <t xml:space="preserve">Bobby Portis Jr.</t>
  </si>
  <si>
    <t xml:space="preserve">Kevon Looney</t>
  </si>
  <si>
    <t xml:space="preserve">Norman Powell</t>
  </si>
  <si>
    <t xml:space="preserve">Pat Connaughton</t>
  </si>
  <si>
    <t xml:space="preserve">Larry Nance Jr.</t>
  </si>
  <si>
    <t xml:space="preserve">Royce O'Neale</t>
  </si>
  <si>
    <t xml:space="preserve">Domantas Sabonis</t>
  </si>
  <si>
    <t xml:space="preserve">Kris Dunn</t>
  </si>
  <si>
    <t xml:space="preserve">Buddy Hield</t>
  </si>
  <si>
    <t xml:space="preserve">Brandon Ingram</t>
  </si>
  <si>
    <t xml:space="preserve">Caris LeVert</t>
  </si>
  <si>
    <t xml:space="preserve">Dejounte Murray</t>
  </si>
  <si>
    <t xml:space="preserve">Jakob Poeltl</t>
  </si>
  <si>
    <t xml:space="preserve">Taurean Prince</t>
  </si>
  <si>
    <t xml:space="preserve">Jaylen Brown</t>
  </si>
  <si>
    <t xml:space="preserve">Gary Payton II</t>
  </si>
  <si>
    <t xml:space="preserve">Pascal Siakam</t>
  </si>
  <si>
    <t xml:space="preserve">Ivica Zubac</t>
  </si>
  <si>
    <t xml:space="preserve">Dorian Finney-Smith</t>
  </si>
  <si>
    <t xml:space="preserve">Derrick Jones Jr.</t>
  </si>
  <si>
    <t xml:space="preserve">Alex Caruso</t>
  </si>
  <si>
    <t xml:space="preserve">Markelle Fultz</t>
  </si>
  <si>
    <t xml:space="preserve">De'Aaron Fox</t>
  </si>
  <si>
    <t xml:space="preserve">Jayson Tatum</t>
  </si>
  <si>
    <t xml:space="preserve">Malik Monk</t>
  </si>
  <si>
    <t xml:space="preserve">Lauri Markkanen</t>
  </si>
  <si>
    <t xml:space="preserve">Donovan Mitchell</t>
  </si>
  <si>
    <t xml:space="preserve">Luke Kennard</t>
  </si>
  <si>
    <t xml:space="preserve">Zach Collins</t>
  </si>
  <si>
    <t xml:space="preserve">John Collins</t>
  </si>
  <si>
    <t xml:space="preserve">OG Anunoby</t>
  </si>
  <si>
    <t xml:space="preserve">Jarrett Allen</t>
  </si>
  <si>
    <t xml:space="preserve">Bam Adebayo</t>
  </si>
  <si>
    <t xml:space="preserve">Isaiah Hartenstein</t>
  </si>
  <si>
    <t xml:space="preserve">Kyle Kuzma</t>
  </si>
  <si>
    <t xml:space="preserve">Derrick White</t>
  </si>
  <si>
    <t xml:space="preserve">Josh Hart</t>
  </si>
  <si>
    <t xml:space="preserve">Dillon Brooks</t>
  </si>
  <si>
    <t xml:space="preserve">Thomas Bryant</t>
  </si>
  <si>
    <t xml:space="preserve">Monte Morris</t>
  </si>
  <si>
    <t xml:space="preserve">Luke Kornet</t>
  </si>
  <si>
    <t xml:space="preserve">Chris Boucher</t>
  </si>
  <si>
    <t xml:space="preserve">Maxi Kleber</t>
  </si>
  <si>
    <t xml:space="preserve">Grayson Allen</t>
  </si>
  <si>
    <t xml:space="preserve">Marvin Bagley III</t>
  </si>
  <si>
    <t xml:space="preserve">Mo Bamba</t>
  </si>
  <si>
    <t xml:space="preserve">Mikal Bridges</t>
  </si>
  <si>
    <t xml:space="preserve">Bruce Brown</t>
  </si>
  <si>
    <t xml:space="preserve">Jalen Brunson</t>
  </si>
  <si>
    <t xml:space="preserve">Jevon Carter</t>
  </si>
  <si>
    <t xml:space="preserve">Wendell Carter Jr.</t>
  </si>
  <si>
    <t xml:space="preserve">Donte DiVincenzo</t>
  </si>
  <si>
    <t xml:space="preserve">Shai Gilgeous-Alexander</t>
  </si>
  <si>
    <t xml:space="preserve">Aaron Holiday</t>
  </si>
  <si>
    <t xml:space="preserve">Kevin Huerter</t>
  </si>
  <si>
    <t xml:space="preserve">Jaren Jackson Jr.</t>
  </si>
  <si>
    <t xml:space="preserve">Caleb Martin</t>
  </si>
  <si>
    <t xml:space="preserve">Cody Martin</t>
  </si>
  <si>
    <t xml:space="preserve">De'Anthony Melton</t>
  </si>
  <si>
    <t xml:space="preserve">Svi Mykhailiuk</t>
  </si>
  <si>
    <t xml:space="preserve">Josh Okogie</t>
  </si>
  <si>
    <t xml:space="preserve">Michael Porter Jr.</t>
  </si>
  <si>
    <t xml:space="preserve">Mitchell Robinson</t>
  </si>
  <si>
    <t xml:space="preserve">Collin Sexton</t>
  </si>
  <si>
    <t xml:space="preserve">Landry Shamet</t>
  </si>
  <si>
    <t xml:space="preserve">Anfernee Simons</t>
  </si>
  <si>
    <t xml:space="preserve">Gary Trent Jr.</t>
  </si>
  <si>
    <t xml:space="preserve">Jarred Vanderbilt</t>
  </si>
  <si>
    <t xml:space="preserve">Moritz Wagner</t>
  </si>
  <si>
    <t xml:space="preserve">P.J. Washington</t>
  </si>
  <si>
    <t xml:space="preserve">Kenrich Williams</t>
  </si>
  <si>
    <t xml:space="preserve">Trae Young</t>
  </si>
  <si>
    <t xml:space="preserve">Deandre Ayton</t>
  </si>
  <si>
    <t xml:space="preserve">Luka Dončić</t>
  </si>
  <si>
    <t xml:space="preserve">Goga Bitadze</t>
  </si>
  <si>
    <t xml:space="preserve">Robert Williams III</t>
  </si>
  <si>
    <t xml:space="preserve">Rui Hachimura</t>
  </si>
  <si>
    <t xml:space="preserve">Jock Landale</t>
  </si>
  <si>
    <t xml:space="preserve">Duncan Robinson</t>
  </si>
  <si>
    <t xml:space="preserve">Jordan McLaughlin</t>
  </si>
  <si>
    <t xml:space="preserve">Gabe Vincent</t>
  </si>
  <si>
    <t xml:space="preserve">Drew Eubanks</t>
  </si>
  <si>
    <t xml:space="preserve">Haywood Highsmith</t>
  </si>
  <si>
    <t xml:space="preserve">Amir Coffey</t>
  </si>
  <si>
    <t xml:space="preserve">Terance Mann</t>
  </si>
  <si>
    <t xml:space="preserve">Max Strus</t>
  </si>
  <si>
    <t xml:space="preserve">RJ Barrett</t>
  </si>
  <si>
    <t xml:space="preserve">Ja Morant</t>
  </si>
  <si>
    <t xml:space="preserve">De'Andre Hunter</t>
  </si>
  <si>
    <t xml:space="preserve">Coby White</t>
  </si>
  <si>
    <t xml:space="preserve">Brandon Clarke</t>
  </si>
  <si>
    <t xml:space="preserve">Darius Garland</t>
  </si>
  <si>
    <t xml:space="preserve">Jaxson Hayes</t>
  </si>
  <si>
    <t xml:space="preserve">Nickeil Alexander-Walker</t>
  </si>
  <si>
    <t xml:space="preserve">Tyler Herro</t>
  </si>
  <si>
    <t xml:space="preserve">Keldon Johnson</t>
  </si>
  <si>
    <t xml:space="preserve">Nic Claxton</t>
  </si>
  <si>
    <t xml:space="preserve">Luguentz Dort</t>
  </si>
  <si>
    <t xml:space="preserve">Daniel Gafford</t>
  </si>
  <si>
    <t xml:space="preserve">Quentin Grimes</t>
  </si>
  <si>
    <t xml:space="preserve">Ty Jerome</t>
  </si>
  <si>
    <t xml:space="preserve">Cameron Johnson</t>
  </si>
  <si>
    <t xml:space="preserve">Jordan Poole</t>
  </si>
  <si>
    <t xml:space="preserve">Neemias Queta</t>
  </si>
  <si>
    <t xml:space="preserve">Naz Reid</t>
  </si>
  <si>
    <t xml:space="preserve">Matisse Thybulle</t>
  </si>
  <si>
    <t xml:space="preserve">Grant Williams</t>
  </si>
  <si>
    <t xml:space="preserve">John Konchar</t>
  </si>
  <si>
    <t xml:space="preserve">Garrison Mathews</t>
  </si>
  <si>
    <t xml:space="preserve">Dean Wade</t>
  </si>
  <si>
    <t xml:space="preserve">Javonte Green</t>
  </si>
  <si>
    <t xml:space="preserve">Anthony Edwards</t>
  </si>
  <si>
    <t xml:space="preserve">LaMelo Ball</t>
  </si>
  <si>
    <t xml:space="preserve">Killian Hayes</t>
  </si>
  <si>
    <t xml:space="preserve">Deni Avdija</t>
  </si>
  <si>
    <t xml:space="preserve">Obi Toppin</t>
  </si>
  <si>
    <t xml:space="preserve">Onyeka Okongwu</t>
  </si>
  <si>
    <t xml:space="preserve">Devin Vassell</t>
  </si>
  <si>
    <t xml:space="preserve">Isaac Okoro</t>
  </si>
  <si>
    <t xml:space="preserve">Patrick Williams</t>
  </si>
  <si>
    <t xml:space="preserve">Precious Achiuwa</t>
  </si>
  <si>
    <t xml:space="preserve">Aaron Nesmith</t>
  </si>
  <si>
    <t xml:space="preserve">Cole Anthony</t>
  </si>
  <si>
    <t xml:space="preserve">Tyrese Maxey</t>
  </si>
  <si>
    <t xml:space="preserve">Josh Green</t>
  </si>
  <si>
    <t xml:space="preserve">Jaden McDaniels</t>
  </si>
  <si>
    <t xml:space="preserve">Jalen Smith</t>
  </si>
  <si>
    <t xml:space="preserve">Isaiah Stewart</t>
  </si>
  <si>
    <t xml:space="preserve">Zeke Nnaji</t>
  </si>
  <si>
    <t xml:space="preserve">Immanuel Quickley</t>
  </si>
  <si>
    <t xml:space="preserve">Paul Reed</t>
  </si>
  <si>
    <t xml:space="preserve">Isaiah Joe</t>
  </si>
  <si>
    <t xml:space="preserve">Tre Jones</t>
  </si>
  <si>
    <t xml:space="preserve">Payton Pritchard</t>
  </si>
  <si>
    <t xml:space="preserve">Nick Richards</t>
  </si>
  <si>
    <t xml:space="preserve">Xavier Tillman</t>
  </si>
  <si>
    <t xml:space="preserve">Desmond Bane</t>
  </si>
  <si>
    <t xml:space="preserve">Jalen Green</t>
  </si>
  <si>
    <t xml:space="preserve">Jonathan Kuminga</t>
  </si>
  <si>
    <t xml:space="preserve">Naji Marshall</t>
  </si>
  <si>
    <t xml:space="preserve">Sam Merrill</t>
  </si>
  <si>
    <t xml:space="preserve">Ayo Dosunmu</t>
  </si>
  <si>
    <t xml:space="preserve">Vít Krejčí</t>
  </si>
  <si>
    <t xml:space="preserve">Jae'Sean Tate</t>
  </si>
  <si>
    <t xml:space="preserve">Anthony Gill</t>
  </si>
  <si>
    <t xml:space="preserve">Jeremiah Robinson-Earl</t>
  </si>
  <si>
    <t xml:space="preserve">Herbert Jones</t>
  </si>
  <si>
    <t xml:space="preserve">Trey Murphy III</t>
  </si>
  <si>
    <t xml:space="preserve">Franz Wagner</t>
  </si>
  <si>
    <t xml:space="preserve">Ziaire Williams</t>
  </si>
  <si>
    <t xml:space="preserve">Bones Hyland</t>
  </si>
  <si>
    <t xml:space="preserve">Miles McBride</t>
  </si>
  <si>
    <t xml:space="preserve">Moses Moody</t>
  </si>
  <si>
    <t xml:space="preserve">Isaiah Jackson</t>
  </si>
  <si>
    <t xml:space="preserve">Tre Mann</t>
  </si>
  <si>
    <t xml:space="preserve">Day'Ron Sharpe</t>
  </si>
  <si>
    <t xml:space="preserve">Justin Champagnie</t>
  </si>
  <si>
    <t xml:space="preserve">Jalen Johnson</t>
  </si>
  <si>
    <t xml:space="preserve">Corey Kispert</t>
  </si>
  <si>
    <t xml:space="preserve">Davion Mitchell</t>
  </si>
  <si>
    <t xml:space="preserve">Austin Reaves</t>
  </si>
  <si>
    <t xml:space="preserve">Cam Thomas</t>
  </si>
  <si>
    <t xml:space="preserve">Scottie Barnes</t>
  </si>
  <si>
    <t xml:space="preserve">Trendon Watford</t>
  </si>
  <si>
    <t xml:space="preserve">Sandro Mamukelashvili</t>
  </si>
  <si>
    <t xml:space="preserve">Sam Hauser</t>
  </si>
  <si>
    <t xml:space="preserve">Alperen Sengun</t>
  </si>
  <si>
    <t xml:space="preserve">Jericho Sims</t>
  </si>
  <si>
    <t xml:space="preserve">Josh Giddey</t>
  </si>
  <si>
    <t xml:space="preserve">Santi Aldama</t>
  </si>
  <si>
    <t xml:space="preserve">Jalen Suggs</t>
  </si>
  <si>
    <t xml:space="preserve">Cade Cunningham</t>
  </si>
  <si>
    <t xml:space="preserve">Evan Mobley</t>
  </si>
  <si>
    <t xml:space="preserve">Aaron Wiggins</t>
  </si>
  <si>
    <t xml:space="preserve">Dalano Banton</t>
  </si>
  <si>
    <t xml:space="preserve">Jose Alvarado</t>
  </si>
  <si>
    <t xml:space="preserve">Jay Huff</t>
  </si>
  <si>
    <t xml:space="preserve">Jordan Goodwin</t>
  </si>
  <si>
    <t xml:space="preserve">Headline results</t>
  </si>
  <si>
    <t xml:space="preserve">Statistic</t>
  </si>
  <si>
    <t xml:space="preserve">Value</t>
  </si>
  <si>
    <t xml:space="preserve">How it is computed</t>
  </si>
  <si>
    <t xml:space="preserve">Players (n)</t>
  </si>
  <si>
    <t xml:space="preserve">COUNT of the target column on Data</t>
  </si>
  <si>
    <t xml:space="preserve">Predictors (k)</t>
  </si>
  <si>
    <t xml:space="preserve">Number of predictor columns on Data</t>
  </si>
  <si>
    <t xml:space="preserve">R² (in-sample)</t>
  </si>
  <si>
    <t xml:space="preserve">LINEST on Data</t>
  </si>
  <si>
    <t xml:space="preserve">Adjusted R²</t>
  </si>
  <si>
    <t xml:space="preserve">1 - (1 - R²)(n - 1)/(n - k - 1)</t>
  </si>
  <si>
    <t xml:space="preserve">Leave-one-out cross-validated R²</t>
  </si>
  <si>
    <t xml:space="preserve">Computed in Python with the exact PRESS formula (each player predicted by a model fit without him). Hardcoded.</t>
  </si>
  <si>
    <t xml:space="preserve">10-fold cross-validated R² (mean of 200 repeats)</t>
  </si>
  <si>
    <t xml:space="preserve">Computed in Python, random seed 0. 5th to 95th percentile across repeats: 0.3805 to 0.4072. Hardcoded.</t>
  </si>
  <si>
    <t xml:space="preserve">F statistic</t>
  </si>
  <si>
    <t xml:space="preserve">Residual degrees of freedom</t>
  </si>
  <si>
    <t xml:space="preserve">F test p-value</t>
  </si>
  <si>
    <t xml:space="preserve">FDIST(F, k, residual df)</t>
  </si>
  <si>
    <t xml:space="preserve">Sum of general dominance weights</t>
  </si>
  <si>
    <t xml:space="preserve">Should equal R² (check below)</t>
  </si>
  <si>
    <t xml:space="preserve">Check: dominance sum minus R²</t>
  </si>
  <si>
    <t xml:space="preserve">Should be 0 to rounding</t>
  </si>
  <si>
    <t xml:space="preserve">Variance not explained (in-sample)</t>
  </si>
  <si>
    <t xml:space="preserve">1 - R²</t>
  </si>
  <si>
    <t xml:space="preserve">Top 3 (AST%, STL%, TS%) share of explained variance</t>
  </si>
  <si>
    <t xml:space="preserve">From Graphic_Numbers</t>
  </si>
  <si>
    <t xml:space="preserve">In one sentence</t>
  </si>
  <si>
    <t xml:space="preserve">Box-score skill stats explain about 40% of 5-year RAPM out of sample (45% in-sample). Assists, steals and shooting efficiency carry about 62% of the explained share. The rest of RAPM is not captured by these stats and includes RAPM's own noise.</t>
  </si>
  <si>
    <t xml:space="preserve">OLS coefficients (live LINEST on Data)</t>
  </si>
  <si>
    <t xml:space="preserve">Predictor</t>
  </si>
  <si>
    <t xml:space="preserve">Description</t>
  </si>
  <si>
    <t xml:space="preserve">Coefficient</t>
  </si>
  <si>
    <t xml:space="preserve">Std. error</t>
  </si>
  <si>
    <t xml:space="preserve">t</t>
  </si>
  <si>
    <t xml:space="preserve">p-value</t>
  </si>
  <si>
    <t xml:space="preserve">Standardised beta</t>
  </si>
  <si>
    <t xml:space="preserve">VIF</t>
  </si>
  <si>
    <t xml:space="preserve">Direction</t>
  </si>
  <si>
    <t xml:space="preserve">True shooting percentage</t>
  </si>
  <si>
    <t xml:space="preserve">3-point attempt rate (3PA/FGA)</t>
  </si>
  <si>
    <t xml:space="preserve">Free throw rate (FTA/FGA)</t>
  </si>
  <si>
    <t xml:space="preserve">Total rebound %</t>
  </si>
  <si>
    <t xml:space="preserve">Assist %</t>
  </si>
  <si>
    <t xml:space="preserve">Steal %</t>
  </si>
  <si>
    <t xml:space="preserve">Block %</t>
  </si>
  <si>
    <t xml:space="preserve">Turnover %</t>
  </si>
  <si>
    <t xml:space="preserve">Usage %</t>
  </si>
  <si>
    <t xml:space="preserve">Intercept</t>
  </si>
  <si>
    <t xml:space="preserve">Notes</t>
  </si>
  <si>
    <t xml:space="preserve">Direction: "unstable (collinear)" when VIF &gt; 10; otherwise "positive" or "negative" when p &lt; .001, else "weak / unclear". The X graphic marks AST%, STL% and TS% with ▲ on this basis.</t>
  </si>
  <si>
    <t xml:space="preserve">Standardised beta = coefficient x SD(predictor) / SD(RAPM5).</t>
  </si>
  <si>
    <t xml:space="preserve">VIF (hardcoded, Python): all VIFs are low because rebounding enters once. With ORB%, DRB% and TRB% all included, the three rebound rates had VIFs from 530 to 3,069.</t>
  </si>
  <si>
    <t xml:space="preserve">TS%, 3PAr and FTr are stored as fractions (0.58 = 58%); the other rates are in percentage points, so coefficient sizes are not comparable across stats. Use the standardised betas or the dominance weights.</t>
  </si>
  <si>
    <t xml:space="preserve">RAPM box plot values, with proof</t>
  </si>
  <si>
    <t xml:space="preserve">All values are live Excel formulas on the Data sheet (RAPM5, n = 242). Quartile method: QUARTILE.INC (inclusive, linear interpolation), the Excel default and the method used by the chart.</t>
  </si>
  <si>
    <t xml:space="preserve">Formula used</t>
  </si>
  <si>
    <t xml:space="preserve">n</t>
  </si>
  <si>
    <t xml:space="preserve">COUNT</t>
  </si>
  <si>
    <t xml:space="preserve">Minimum</t>
  </si>
  <si>
    <t xml:space="preserve">MIN</t>
  </si>
  <si>
    <t xml:space="preserve">Q1 (25th percentile)</t>
  </si>
  <si>
    <t xml:space="preserve">QUARTILE.INC(range,1)</t>
  </si>
  <si>
    <t xml:space="preserve">Median (Q2)</t>
  </si>
  <si>
    <t xml:space="preserve">MEDIAN</t>
  </si>
  <si>
    <t xml:space="preserve">Q3 (75th percentile)</t>
  </si>
  <si>
    <t xml:space="preserve">QUARTILE.INC(range,3)</t>
  </si>
  <si>
    <t xml:space="preserve">Maximum</t>
  </si>
  <si>
    <t xml:space="preserve">MAX</t>
  </si>
  <si>
    <t xml:space="preserve">Mean (for reference)</t>
  </si>
  <si>
    <t xml:space="preserve">AVERAGE</t>
  </si>
  <si>
    <t xml:space="preserve">IQR</t>
  </si>
  <si>
    <t xml:space="preserve">Q3 - Q1</t>
  </si>
  <si>
    <t xml:space="preserve">Lower fence</t>
  </si>
  <si>
    <t xml:space="preserve">Q1 - 1.5 x IQR</t>
  </si>
  <si>
    <t xml:space="preserve">Upper fence</t>
  </si>
  <si>
    <t xml:space="preserve">Q3 + 1.5 x IQR</t>
  </si>
  <si>
    <t xml:space="preserve">Lower whisker end</t>
  </si>
  <si>
    <t xml:space="preserve">smallest value at or above the lower fence</t>
  </si>
  <si>
    <t xml:space="preserve">Upper whisker end</t>
  </si>
  <si>
    <t xml:space="preserve">largest value at or below the upper fence</t>
  </si>
  <si>
    <t xml:space="preserve">Outliers below lower fence</t>
  </si>
  <si>
    <t xml:space="preserve">COUNTIF</t>
  </si>
  <si>
    <t xml:space="preserve">Outliers above upper fence</t>
  </si>
  <si>
    <t xml:space="preserve">Outliers (above upper fence), largest first</t>
  </si>
  <si>
    <t xml:space="preserve">Rank</t>
  </si>
  <si>
    <t xml:space="preserve">RAPM</t>
  </si>
  <si>
    <t xml:space="preserve">Proof: quartiles rebuilt from sorted values</t>
  </si>
  <si>
    <t xml:space="preserve">QUARTILE.INC sits at position 1 + (n - 1) x p in the sorted list. For n = 242 that is 61.25 (Q1), 121.5 (median) and 181.75 (Q3), so each is the value below plus that fraction of the gap to the next value.</t>
  </si>
  <si>
    <t xml:space="preserve">Quartile</t>
  </si>
  <si>
    <t xml:space="preserve">Position</t>
  </si>
  <si>
    <t xml:space="preserve">Value at lower rank</t>
  </si>
  <si>
    <t xml:space="preserve">Value at next rank</t>
  </si>
  <si>
    <t xml:space="preserve">Fraction</t>
  </si>
  <si>
    <t xml:space="preserve">Rebuilt value</t>
  </si>
  <si>
    <t xml:space="preserve">Matches?</t>
  </si>
  <si>
    <t xml:space="preserve">Q1</t>
  </si>
  <si>
    <t xml:space="preserve">Median</t>
  </si>
  <si>
    <t xml:space="preserve">Q3</t>
  </si>
  <si>
    <t xml:space="preserve">Other quartile conventions give slightly different Q1 and Q3 (exclusive method: Q1 -1.3205, Q3 2.0808). The median and whisker ends do not depend on the convention here.</t>
  </si>
  <si>
    <t xml:space="preserve">Correlation matrix (Pearson r, n = 242)</t>
  </si>
  <si>
    <t xml:space="preserve">Live CORREL formulas on the Data sheet. * = not in the final model (MPG excluded as partly an outcome of impact; ORB% and DRB% excluded because TRB% is built from them).</t>
  </si>
  <si>
    <t xml:space="preserve">RAPM5</t>
  </si>
  <si>
    <t xml:space="preserve">ORAPM5</t>
  </si>
  <si>
    <t xml:space="preserve">DRAPM5</t>
  </si>
  <si>
    <t xml:space="preserve">MPG *</t>
  </si>
  <si>
    <t xml:space="preserve">ORB% *</t>
  </si>
  <si>
    <t xml:space="preserve">DRB% *</t>
  </si>
  <si>
    <t xml:space="preserve">How to read: blue = negative, white = none, orange = positive. Diagonal = 1.</t>
  </si>
  <si>
    <t xml:space="preserve">Significance for n = 242: |r| above 0.126 is significant at p &lt; .05; above 0.210 at p &lt; .001 (two-tailed).</t>
  </si>
  <si>
    <t xml:space="preserve">Correlation is not causation, and single-variable correlations can differ from a stat's role in the full model (for example TOV% is near zero here but clearly negative once usage is controlled for).</t>
  </si>
  <si>
    <t xml:space="preserve">General dominance (exact, all 512 subsets)</t>
  </si>
  <si>
    <t xml:space="preserve">General dominance (R² units)</t>
  </si>
  <si>
    <t xml:space="preserve">Share of all RAPM variance</t>
  </si>
  <si>
    <t xml:space="preserve">Share of R²</t>
  </si>
  <si>
    <t xml:space="preserve">R² alone (k = 0)</t>
  </si>
  <si>
    <t xml:space="preserve">R² added last (k = 8)</t>
  </si>
  <si>
    <t xml:space="preserve">Change, alone to last</t>
  </si>
  <si>
    <t xml:space="preserve">Total</t>
  </si>
  <si>
    <t xml:space="preserve">General dominance and "R² added last" are hardcoded from the exact Python computation (blue). "R² alone" is a live RSQ formula and equals the k = 0 column of Dominance_Conditional.</t>
  </si>
  <si>
    <t xml:space="preserve">The general dominance weights sum to the full-model R² (Total row vs Answers!B6).</t>
  </si>
  <si>
    <t xml:space="preserve">A rising "alone to last" change means the stat matters more once the others are controlled for (for example TOV%); a falling one means its information overlaps with other stats (for example USG%).</t>
  </si>
  <si>
    <t xml:space="preserve">Conditional dominance: average R² added when k other stats are already in the model</t>
  </si>
  <si>
    <t xml:space="preserve">k = 0</t>
  </si>
  <si>
    <t xml:space="preserve">k = 1</t>
  </si>
  <si>
    <t xml:space="preserve">k = 2</t>
  </si>
  <si>
    <t xml:space="preserve">k = 3</t>
  </si>
  <si>
    <t xml:space="preserve">k = 4</t>
  </si>
  <si>
    <t xml:space="preserve">k = 5</t>
  </si>
  <si>
    <t xml:space="preserve">k = 6</t>
  </si>
  <si>
    <t xml:space="preserve">k = 7</t>
  </si>
  <si>
    <t xml:space="preserve">k = 8</t>
  </si>
  <si>
    <t xml:space="preserve">Average (= general dominance)</t>
  </si>
  <si>
    <t xml:space="preserve">All values hardcoded from the exact Python computation. The last column is a live AVERAGE and should match Dominance_General column C.</t>
  </si>
  <si>
    <t xml:space="preserve">Pairwise dominance verdicts</t>
  </si>
  <si>
    <t xml:space="preserve">Complete: X adds at least as much R² as Y in every one of the 128 subsets of the other 7 stats. Conditional: X's average is at least Y's at every model size k. General: X has the higher general dominance weight.</t>
  </si>
  <si>
    <t xml:space="preserve">Dominates</t>
  </si>
  <si>
    <t xml:space="preserve">Is dominated</t>
  </si>
  <si>
    <t xml:space="preserve">Complete</t>
  </si>
  <si>
    <t xml:space="preserve">Conditional</t>
  </si>
  <si>
    <t xml:space="preserve">Yes</t>
  </si>
  <si>
    <t xml:space="preserve">No</t>
  </si>
  <si>
    <t xml:space="preserve">3 complete and 22 conditional dominance relations out of 36 predictor pairs. All 36 pairs are ordered by general dominance (see ranks on Dominance_General). Hardcoded from Python.</t>
  </si>
  <si>
    <t xml:space="preserve">Every number on the X graphic, traced to its source</t>
  </si>
  <si>
    <t xml:space="preserve">Label on graphic</t>
  </si>
  <si>
    <t xml:space="preserve">Shown as</t>
  </si>
  <si>
    <t xml:space="preserve">Exact value</t>
  </si>
  <si>
    <t xml:space="preserve">Source</t>
  </si>
  <si>
    <t xml:space="preserve">About 40% (out of sample)</t>
  </si>
  <si>
    <t xml:space="preserve">40%</t>
  </si>
  <si>
    <t xml:space="preserve">In-sample R² 0.450 / 45%</t>
  </si>
  <si>
    <t xml:space="preserve">0.450</t>
  </si>
  <si>
    <t xml:space="preserve">LINEST R²</t>
  </si>
  <si>
    <t xml:space="preserve">AST% segment</t>
  </si>
  <si>
    <t xml:space="preserve">11.4%</t>
  </si>
  <si>
    <t xml:space="preserve">General dominance, share of all variance</t>
  </si>
  <si>
    <t xml:space="preserve">STL% segment</t>
  </si>
  <si>
    <t xml:space="preserve">8.6%</t>
  </si>
  <si>
    <t xml:space="preserve">TS% segment</t>
  </si>
  <si>
    <t xml:space="preserve">8.1%</t>
  </si>
  <si>
    <t xml:space="preserve">Top 3 share of explained variance</t>
  </si>
  <si>
    <t xml:space="preserve">62%</t>
  </si>
  <si>
    <t xml:space="preserve">AST% + STL% + TS% divided by R²</t>
  </si>
  <si>
    <t xml:space="preserve">USG% segment</t>
  </si>
  <si>
    <t xml:space="preserve">6.7%</t>
  </si>
  <si>
    <t xml:space="preserve">5 others segment</t>
  </si>
  <si>
    <t xml:space="preserve">10.2%</t>
  </si>
  <si>
    <t xml:space="preserve">TOV%, TRB%, FTr, 3PAr, BLK%</t>
  </si>
  <si>
    <t xml:space="preserve">55% not explained</t>
  </si>
  <si>
    <t xml:space="preserve">55%</t>
  </si>
  <si>
    <t xml:space="preserve">1 - in-sample R²</t>
  </si>
  <si>
    <t xml:space="preserve">Segments plus unexplained</t>
  </si>
  <si>
    <t xml:space="preserve">100%</t>
  </si>
  <si>
    <t xml:space="preserve">Must equal 100%</t>
  </si>
  <si>
    <t xml:space="preserve">▲ markers (AST%, STL%, TS%)</t>
  </si>
  <si>
    <t xml:space="preserve">positive, p &lt; .001</t>
  </si>
  <si>
    <t xml:space="preserve">Direction column on Model_OLS</t>
  </si>
  <si>
    <t xml:space="preserve">Segment labels on the image are rounded to one decimal; they add to 45.0%, matching R² = 45.0%.</t>
  </si>
  <si>
    <t xml:space="preserve">Why this model leaves out minutes per game</t>
  </si>
  <si>
    <t xml:space="preserve">Minutes are partly a result of impact: coaches give more minutes to players who help them win. Including MPG as a predictor of impact mixes cause and effect, so this model uses box-score rates only. The original 12-predictor model (MPG plus 11 rates including TRB%) is shown for reference.</t>
  </si>
  <si>
    <t xml:space="preserve">This model (9 rates)</t>
  </si>
  <si>
    <t xml:space="preserve">Original (MPG + 11 rates)</t>
  </si>
  <si>
    <t xml:space="preserve">Difference</t>
  </si>
  <si>
    <t xml:space="preserve">Leave-one-out R²</t>
  </si>
  <si>
    <t xml:space="preserve">Share of R² by predictor</t>
  </si>
  <si>
    <t xml:space="preserve">This model</t>
  </si>
  <si>
    <t xml:space="preserve">Original (with MPG)</t>
  </si>
  <si>
    <t xml:space="preserve">Note</t>
  </si>
  <si>
    <t xml:space="preserve">MPG</t>
  </si>
  <si>
    <t xml:space="preserve">not in model</t>
  </si>
  <si>
    <t xml:space="preserve">Leads in both models</t>
  </si>
  <si>
    <t xml:space="preserve">DRB%</t>
  </si>
  <si>
    <t xml:space="preserve">ORB%</t>
  </si>
  <si>
    <t xml:space="preserve">Original shares hardcoded from the verified Dominance_Exact sheet of the Advanced 5yr RAPM workbook.</t>
  </si>
  <si>
    <t xml:space="preserve">Why rebounding enters once, as TRB%</t>
  </si>
  <si>
    <t xml:space="preserve">Decision</t>
  </si>
  <si>
    <t xml:space="preserve">Measure rebounding once, with TRB%. Leave out ORB% and DRB%.</t>
  </si>
  <si>
    <t xml:space="preserve">Why not all three</t>
  </si>
  <si>
    <t xml:space="preserve">Basketball-Reference defines TRB% as total rebounds divided by all available rebounds while the player is on the floor, which makes it a weighted blend of ORB% and DRB%. In this sample ORB% and DRB% reproduce 99.96% of the variation in TRB% (check below). Including all three counts rebounding twice, and the small leftover in TRB% (with ORB% and DRB% held fixed) adds about 3 points of R² that track team on-court shooting results rather than rebounding skill.</t>
  </si>
  <si>
    <t xml:space="preserve">Evidence for that leftover</t>
  </si>
  <si>
    <t xml:space="preserve">Adding it to an ORB% + DRB% model raises R² from 0.449 to 0.480 (nested F test p = 0.0002) and raises leave-one-out R² in 99% of 1,000 bootstrap resamples (mean gain 0.034). It correlates 0.32 with RAPM, 0.29 with TS% and more with offensive RAPM (0.28) than defensive (0.16). An ORB% x DRB% term or a rebounding-mix ratio does not reproduce the gain. The mechanism follows from the published formulas; direct on-court team miss counts were not available to confirm it.</t>
  </si>
  <si>
    <t xml:space="preserve">Why TRB% rather than ORB% + DRB%</t>
  </si>
  <si>
    <t xml:space="preserve">Both clean options fit essentially the same (table below: out-of-sample R² 0.396 vs 0.390, within noise) and give the same leading stats. TRB% was chosen as the single, simpler rebounding measure. Used alone, the model cannot separate the team-opportunity weighting inside TRB% from the player's rebounding, so the leak described above is not available to it.</t>
  </si>
  <si>
    <t xml:space="preserve">Effect on the result</t>
  </si>
  <si>
    <t xml:space="preserve">The ranking of the leading stats is the same under every rebounding choice. Only the total R² and rebounding's share change.</t>
  </si>
  <si>
    <t xml:space="preserve">Check: R² of TRB% on ORB% and DRB%</t>
  </si>
  <si>
    <t xml:space="preserve">Rebounding in the model</t>
  </si>
  <si>
    <t xml:space="preserve">Rebounding share of all variance</t>
  </si>
  <si>
    <t xml:space="preserve">Top 5 by general dominance</t>
  </si>
  <si>
    <t xml:space="preserve">TRB% only (this model)</t>
  </si>
  <si>
    <t xml:space="preserve">AST%, STL%, TS%, USG%, TOV%</t>
  </si>
  <si>
    <t xml:space="preserve">ORB% + DRB%</t>
  </si>
  <si>
    <t xml:space="preserve">All three (ORB%, DRB%, TRB%)</t>
  </si>
  <si>
    <t xml:space="preserve">None</t>
  </si>
  <si>
    <t xml:space="preserve">AST%, TS%, STL%, USG%, TOV%</t>
  </si>
  <si>
    <t xml:space="preserve">Comparison rows hardcoded from Python (each model refit with exact dominance analysis). The first row matches Answers and Dominance_General.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</si>
</sst>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"/>
    <numFmt numFmtId="166" formatCode="0.00"/>
    <numFmt numFmtId="167" formatCode="0.0"/>
    <numFmt numFmtId="168" formatCode="0"/>
    <numFmt numFmtId="169" formatCode="0.0000"/>
    <numFmt numFmtId="170" formatCode="0.00E+00"/>
    <numFmt numFmtId="171" formatCode="0.000000"/>
    <numFmt numFmtId="172" formatCode="0.0%"/>
    <numFmt numFmtId="173" formatCode="0.00;\-0.00"/>
    <numFmt numFmtId="174" formatCode="General"/>
    <numFmt numFmtId="175" formatCode="\+0.0000;\-0.0000;0.0000"/>
    <numFmt numFmtId="176" formatCode="\+0.0000;\-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i val="true"/>
      <sz val="9"/>
      <color rgb="FF555555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3"/>
      <c r="B2" s="3"/>
    </row>
    <row r="3" customFormat="false" ht="30" hidden="false" customHeight="true" outlineLevel="0" collapsed="false">
      <c r="A3" s="4" t="s">
        <v>1</v>
      </c>
      <c r="B3" s="5" t="s">
        <v>2</v>
      </c>
    </row>
    <row r="4" customFormat="false" ht="45" hidden="false" customHeight="true" outlineLevel="0" collapsed="false">
      <c r="A4" s="4" t="s">
        <v>3</v>
      </c>
      <c r="B4" s="5" t="s">
        <v>4</v>
      </c>
    </row>
    <row r="5" customFormat="false" ht="60" hidden="false" customHeight="true" outlineLevel="0" collapsed="false">
      <c r="A5" s="4" t="s">
        <v>5</v>
      </c>
      <c r="B5" s="5" t="s">
        <v>6</v>
      </c>
    </row>
    <row r="6" customFormat="false" ht="45" hidden="false" customHeight="true" outlineLevel="0" collapsed="false">
      <c r="A6" s="4" t="s">
        <v>7</v>
      </c>
      <c r="B6" s="5" t="s">
        <v>8</v>
      </c>
    </row>
    <row r="7" customFormat="false" ht="30" hidden="false" customHeight="true" outlineLevel="0" collapsed="false">
      <c r="A7" s="4" t="s">
        <v>9</v>
      </c>
      <c r="B7" s="5" t="s">
        <v>10</v>
      </c>
    </row>
    <row r="8" customFormat="false" ht="45" hidden="false" customHeight="true" outlineLevel="0" collapsed="false">
      <c r="A8" s="4" t="s">
        <v>11</v>
      </c>
      <c r="B8" s="5" t="s">
        <v>12</v>
      </c>
    </row>
    <row r="9" customFormat="false" ht="60" hidden="false" customHeight="true" outlineLevel="0" collapsed="false">
      <c r="A9" s="4" t="s">
        <v>13</v>
      </c>
      <c r="B9" s="5" t="s">
        <v>14</v>
      </c>
    </row>
    <row r="10" customFormat="false" ht="45" hidden="false" customHeight="true" outlineLevel="0" collapsed="false">
      <c r="A10" s="4" t="s">
        <v>15</v>
      </c>
      <c r="B10" s="5" t="s">
        <v>16</v>
      </c>
    </row>
    <row r="11" customFormat="false" ht="45" hidden="false" customHeight="true" outlineLevel="0" collapsed="false">
      <c r="A11" s="4" t="s">
        <v>17</v>
      </c>
      <c r="B11" s="5" t="s">
        <v>18</v>
      </c>
    </row>
    <row r="12" customFormat="false" ht="75" hidden="false" customHeight="true" outlineLevel="0" collapsed="false">
      <c r="A12" s="4" t="s">
        <v>19</v>
      </c>
      <c r="B12" s="5" t="s">
        <v>20</v>
      </c>
    </row>
    <row r="13" customFormat="false" ht="45" hidden="false" customHeight="true" outlineLevel="0" collapsed="false">
      <c r="A13" s="4" t="s">
        <v>21</v>
      </c>
      <c r="B13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3"/>
    <col collapsed="false" customWidth="true" hidden="false" outlineLevel="0" max="6" min="6" style="1" width="12"/>
    <col collapsed="false" customWidth="true" hidden="false" outlineLevel="0" max="18" min="7" style="1" width="9"/>
    <col collapsed="false" customWidth="true" hidden="false" outlineLevel="0" max="20" min="19" style="1" width="12"/>
  </cols>
  <sheetData>
    <row r="1" customFormat="false" ht="34.5" hidden="false" customHeight="true" outlineLevel="0" collapsed="false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Q1" s="6" t="s">
        <v>39</v>
      </c>
      <c r="R1" s="6" t="s">
        <v>40</v>
      </c>
      <c r="S1" s="6" t="s">
        <v>41</v>
      </c>
      <c r="T1" s="6" t="s">
        <v>42</v>
      </c>
    </row>
    <row r="2" customFormat="false" ht="15" hidden="false" customHeight="true" outlineLevel="0" collapsed="false">
      <c r="A2" s="7" t="n">
        <v>2544</v>
      </c>
      <c r="B2" s="7" t="s">
        <v>43</v>
      </c>
      <c r="C2" s="8" t="n">
        <v>312</v>
      </c>
      <c r="D2" s="8" t="n">
        <v>10975</v>
      </c>
      <c r="E2" s="8" t="n">
        <v>50910</v>
      </c>
      <c r="F2" s="9" t="n">
        <v>2.696</v>
      </c>
      <c r="G2" s="9" t="n">
        <v>0.607229157175399</v>
      </c>
      <c r="H2" s="9" t="n">
        <v>0.30727854214123</v>
      </c>
      <c r="I2" s="9" t="n">
        <v>0.292951617312073</v>
      </c>
      <c r="J2" s="10" t="n">
        <v>11.8349794988611</v>
      </c>
      <c r="K2" s="10" t="n">
        <v>35.4849658314351</v>
      </c>
      <c r="L2" s="10" t="n">
        <v>1.56229612756264</v>
      </c>
      <c r="M2" s="10" t="n">
        <v>1.64457403189066</v>
      </c>
      <c r="N2" s="10" t="n">
        <v>13.8265968109339</v>
      </c>
      <c r="O2" s="10" t="n">
        <v>30.3565740318907</v>
      </c>
      <c r="P2" s="11" t="n">
        <v>35.1762820512821</v>
      </c>
      <c r="Q2" s="8" t="n">
        <v>3.15254669703873</v>
      </c>
      <c r="R2" s="8" t="n">
        <v>20.0178132118451</v>
      </c>
      <c r="S2" s="9" t="n">
        <v>2.533</v>
      </c>
      <c r="T2" s="9" t="n">
        <v>0.164</v>
      </c>
    </row>
    <row r="3" customFormat="false" ht="15" hidden="false" customHeight="true" outlineLevel="0" collapsed="false">
      <c r="A3" s="7" t="n">
        <v>101108</v>
      </c>
      <c r="B3" s="7" t="s">
        <v>44</v>
      </c>
      <c r="C3" s="8" t="n">
        <v>280</v>
      </c>
      <c r="D3" s="8" t="n">
        <v>8079</v>
      </c>
      <c r="E3" s="8" t="n">
        <v>35670</v>
      </c>
      <c r="F3" s="9" t="n">
        <v>1.388</v>
      </c>
      <c r="G3" s="9" t="n">
        <v>0.562884267854933</v>
      </c>
      <c r="H3" s="9" t="n">
        <v>0.443742913726946</v>
      </c>
      <c r="I3" s="9" t="n">
        <v>0.195535462309692</v>
      </c>
      <c r="J3" s="10" t="n">
        <v>7.26500804555019</v>
      </c>
      <c r="K3" s="10" t="n">
        <v>37.8962247802946</v>
      </c>
      <c r="L3" s="10" t="n">
        <v>2.38478772125263</v>
      </c>
      <c r="M3" s="10" t="n">
        <v>0.776754548830301</v>
      </c>
      <c r="N3" s="10" t="n">
        <v>15.2748607500928</v>
      </c>
      <c r="O3" s="10" t="n">
        <v>17.0338284441144</v>
      </c>
      <c r="P3" s="11" t="n">
        <v>28.8535714285714</v>
      </c>
      <c r="Q3" s="8" t="n">
        <v>1.42473078351281</v>
      </c>
      <c r="R3" s="8" t="n">
        <v>13.0480257457606</v>
      </c>
      <c r="S3" s="9" t="n">
        <v>0.649</v>
      </c>
      <c r="T3" s="9" t="n">
        <v>0.739</v>
      </c>
    </row>
    <row r="4" customFormat="false" ht="15" hidden="false" customHeight="true" outlineLevel="0" collapsed="false">
      <c r="A4" s="7" t="n">
        <v>200768</v>
      </c>
      <c r="B4" s="7" t="s">
        <v>45</v>
      </c>
      <c r="C4" s="8" t="n">
        <v>227</v>
      </c>
      <c r="D4" s="8" t="n">
        <v>6318</v>
      </c>
      <c r="E4" s="8" t="n">
        <v>29305</v>
      </c>
      <c r="F4" s="9" t="n">
        <v>0.557</v>
      </c>
      <c r="G4" s="9" t="n">
        <v>0.575601297879076</v>
      </c>
      <c r="H4" s="9" t="n">
        <v>0.653820354542577</v>
      </c>
      <c r="I4" s="9" t="n">
        <v>0.256575815131371</v>
      </c>
      <c r="J4" s="10" t="n">
        <v>7.02119341563786</v>
      </c>
      <c r="K4" s="10" t="n">
        <v>24.8579138968028</v>
      </c>
      <c r="L4" s="10" t="n">
        <v>1.73287432731877</v>
      </c>
      <c r="M4" s="10" t="n">
        <v>1.11415004748338</v>
      </c>
      <c r="N4" s="10" t="n">
        <v>17.1149256093701</v>
      </c>
      <c r="O4" s="10" t="n">
        <v>15.400680595125</v>
      </c>
      <c r="P4" s="11" t="n">
        <v>27.8325991189427</v>
      </c>
      <c r="Q4" s="8" t="n">
        <v>2.14529914529915</v>
      </c>
      <c r="R4" s="8" t="n">
        <v>11.9855017410573</v>
      </c>
      <c r="S4" s="9" t="n">
        <v>-1.003</v>
      </c>
      <c r="T4" s="9" t="n">
        <v>1.56</v>
      </c>
    </row>
    <row r="5" customFormat="false" ht="15" hidden="false" customHeight="true" outlineLevel="0" collapsed="false">
      <c r="A5" s="7" t="n">
        <v>201142</v>
      </c>
      <c r="B5" s="7" t="s">
        <v>46</v>
      </c>
      <c r="C5" s="8" t="n">
        <v>317</v>
      </c>
      <c r="D5" s="8" t="n">
        <v>11615</v>
      </c>
      <c r="E5" s="8" t="n">
        <v>50666</v>
      </c>
      <c r="F5" s="9" t="n">
        <v>4.347</v>
      </c>
      <c r="G5" s="9" t="n">
        <v>0.641539216530349</v>
      </c>
      <c r="H5" s="9" t="n">
        <v>0.298348256564787</v>
      </c>
      <c r="I5" s="9" t="n">
        <v>0.336761343090831</v>
      </c>
      <c r="J5" s="10" t="n">
        <v>9.64129143349118</v>
      </c>
      <c r="K5" s="10" t="n">
        <v>22.8733448127422</v>
      </c>
      <c r="L5" s="10" t="n">
        <v>1.10963409384417</v>
      </c>
      <c r="M5" s="10" t="n">
        <v>2.77802841153681</v>
      </c>
      <c r="N5" s="10" t="n">
        <v>13.1667412828239</v>
      </c>
      <c r="O5" s="10" t="n">
        <v>29.1093671975893</v>
      </c>
      <c r="P5" s="11" t="n">
        <v>36.6403785488959</v>
      </c>
      <c r="Q5" s="8" t="n">
        <v>1.48844597503229</v>
      </c>
      <c r="R5" s="8" t="n">
        <v>17.3808179078777</v>
      </c>
      <c r="S5" s="9" t="n">
        <v>4.06</v>
      </c>
      <c r="T5" s="9" t="n">
        <v>0.287</v>
      </c>
    </row>
    <row r="6" customFormat="false" ht="15" hidden="false" customHeight="true" outlineLevel="0" collapsed="false">
      <c r="A6" s="7" t="n">
        <v>201143</v>
      </c>
      <c r="B6" s="7" t="s">
        <v>47</v>
      </c>
      <c r="C6" s="8" t="n">
        <v>302</v>
      </c>
      <c r="D6" s="8" t="n">
        <v>8295</v>
      </c>
      <c r="E6" s="8" t="n">
        <v>42550</v>
      </c>
      <c r="F6" s="9" t="n">
        <v>2.372</v>
      </c>
      <c r="G6" s="9" t="n">
        <v>0.598613019891501</v>
      </c>
      <c r="H6" s="9" t="n">
        <v>0.609094876431585</v>
      </c>
      <c r="I6" s="9" t="n">
        <v>0.0914094032549728</v>
      </c>
      <c r="J6" s="10" t="n">
        <v>12.6053044002411</v>
      </c>
      <c r="K6" s="10" t="n">
        <v>13.6685955394816</v>
      </c>
      <c r="L6" s="10" t="n">
        <v>1.10138637733574</v>
      </c>
      <c r="M6" s="10" t="n">
        <v>3.42347197106691</v>
      </c>
      <c r="N6" s="10" t="n">
        <v>9.0966968053044</v>
      </c>
      <c r="O6" s="10" t="n">
        <v>13.5393007836046</v>
      </c>
      <c r="P6" s="11" t="n">
        <v>27.4668874172185</v>
      </c>
      <c r="Q6" s="8" t="n">
        <v>5.1592766726944</v>
      </c>
      <c r="R6" s="8" t="n">
        <v>19.774321880651</v>
      </c>
      <c r="S6" s="9" t="n">
        <v>0.63</v>
      </c>
      <c r="T6" s="9" t="n">
        <v>1.742</v>
      </c>
    </row>
    <row r="7" customFormat="false" ht="15" hidden="false" customHeight="true" outlineLevel="0" collapsed="false">
      <c r="A7" s="7" t="n">
        <v>201144</v>
      </c>
      <c r="B7" s="7" t="s">
        <v>48</v>
      </c>
      <c r="C7" s="8" t="n">
        <v>340</v>
      </c>
      <c r="D7" s="8" t="n">
        <v>9027</v>
      </c>
      <c r="E7" s="8" t="n">
        <v>41635</v>
      </c>
      <c r="F7" s="9" t="n">
        <v>1.189</v>
      </c>
      <c r="G7" s="9" t="n">
        <v>0.581990583804143</v>
      </c>
      <c r="H7" s="9" t="n">
        <v>0.614814445552232</v>
      </c>
      <c r="I7" s="9" t="n">
        <v>0.21419740777667</v>
      </c>
      <c r="J7" s="10" t="n">
        <v>5.46379749639969</v>
      </c>
      <c r="K7" s="10" t="n">
        <v>26.7294671540933</v>
      </c>
      <c r="L7" s="10" t="n">
        <v>2.00693475130165</v>
      </c>
      <c r="M7" s="10" t="n">
        <v>0.77801041320483</v>
      </c>
      <c r="N7" s="10" t="n">
        <v>12.7855544477678</v>
      </c>
      <c r="O7" s="10" t="n">
        <v>16.3792843691149</v>
      </c>
      <c r="P7" s="11" t="n">
        <v>26.55</v>
      </c>
      <c r="Q7" s="8" t="n">
        <v>2.11128835715077</v>
      </c>
      <c r="R7" s="8" t="n">
        <v>8.67768915475795</v>
      </c>
      <c r="S7" s="9" t="n">
        <v>0.875</v>
      </c>
      <c r="T7" s="9" t="n">
        <v>0.314</v>
      </c>
    </row>
    <row r="8" customFormat="false" ht="15" hidden="false" customHeight="true" outlineLevel="0" collapsed="false">
      <c r="A8" s="7" t="n">
        <v>201145</v>
      </c>
      <c r="B8" s="7" t="s">
        <v>49</v>
      </c>
      <c r="C8" s="8" t="n">
        <v>271</v>
      </c>
      <c r="D8" s="8" t="n">
        <v>4818</v>
      </c>
      <c r="E8" s="8" t="n">
        <v>21325</v>
      </c>
      <c r="F8" s="9" t="n">
        <v>-4.21</v>
      </c>
      <c r="G8" s="9" t="n">
        <v>0.601774180157742</v>
      </c>
      <c r="H8" s="9" t="n">
        <v>0.389539435450394</v>
      </c>
      <c r="I8" s="9" t="n">
        <v>0.355137401411374</v>
      </c>
      <c r="J8" s="10" t="n">
        <v>7.31569115815691</v>
      </c>
      <c r="K8" s="10" t="n">
        <v>7.46183063511831</v>
      </c>
      <c r="L8" s="10" t="n">
        <v>0.691884599418846</v>
      </c>
      <c r="M8" s="10" t="n">
        <v>1.5266500622665</v>
      </c>
      <c r="N8" s="10" t="n">
        <v>9.72480282274803</v>
      </c>
      <c r="O8" s="10" t="n">
        <v>16.1644665836447</v>
      </c>
      <c r="P8" s="11" t="n">
        <v>17.7785977859779</v>
      </c>
      <c r="Q8" s="8" t="n">
        <v>3.33173515981735</v>
      </c>
      <c r="R8" s="8" t="n">
        <v>11.1520340390203</v>
      </c>
      <c r="S8" s="9" t="n">
        <v>-2.112</v>
      </c>
      <c r="T8" s="9" t="n">
        <v>-2.099</v>
      </c>
    </row>
    <row r="9" customFormat="false" ht="15" hidden="false" customHeight="true" outlineLevel="0" collapsed="false">
      <c r="A9" s="7" t="n">
        <v>201566</v>
      </c>
      <c r="B9" s="7" t="s">
        <v>50</v>
      </c>
      <c r="C9" s="8" t="n">
        <v>358</v>
      </c>
      <c r="D9" s="8" t="n">
        <v>10278</v>
      </c>
      <c r="E9" s="8" t="n">
        <v>45491</v>
      </c>
      <c r="F9" s="9" t="n">
        <v>-2.993</v>
      </c>
      <c r="G9" s="9" t="n">
        <v>0.519459817085036</v>
      </c>
      <c r="H9" s="9" t="n">
        <v>0.30304222611403</v>
      </c>
      <c r="I9" s="9" t="n">
        <v>0.28213825647013</v>
      </c>
      <c r="J9" s="10" t="n">
        <v>11.0131153920996</v>
      </c>
      <c r="K9" s="10" t="n">
        <v>32.60777388597</v>
      </c>
      <c r="L9" s="10" t="n">
        <v>1.93253551274567</v>
      </c>
      <c r="M9" s="10" t="n">
        <v>1.09340338587274</v>
      </c>
      <c r="N9" s="10" t="n">
        <v>18.2816793150418</v>
      </c>
      <c r="O9" s="10" t="n">
        <v>26.1055360965168</v>
      </c>
      <c r="P9" s="11" t="n">
        <v>28.7094972067039</v>
      </c>
      <c r="Q9" s="8" t="n">
        <v>5.1620548744892</v>
      </c>
      <c r="R9" s="8" t="n">
        <v>16.6797236816501</v>
      </c>
      <c r="S9" s="9" t="n">
        <v>-0.861</v>
      </c>
      <c r="T9" s="9" t="n">
        <v>-2.132</v>
      </c>
    </row>
    <row r="10" customFormat="false" ht="15" hidden="false" customHeight="true" outlineLevel="0" collapsed="false">
      <c r="A10" s="7" t="n">
        <v>201567</v>
      </c>
      <c r="B10" s="7" t="s">
        <v>51</v>
      </c>
      <c r="C10" s="8" t="n">
        <v>251</v>
      </c>
      <c r="D10" s="8" t="n">
        <v>4693</v>
      </c>
      <c r="E10" s="8" t="n">
        <v>20619</v>
      </c>
      <c r="F10" s="9" t="n">
        <v>0.746</v>
      </c>
      <c r="G10" s="9" t="n">
        <v>0.573370978052418</v>
      </c>
      <c r="H10" s="9" t="n">
        <v>0.665205625399531</v>
      </c>
      <c r="I10" s="9" t="n">
        <v>0.247879181760068</v>
      </c>
      <c r="J10" s="10" t="n">
        <v>18.9604091199659</v>
      </c>
      <c r="K10" s="10" t="n">
        <v>15.2645216279565</v>
      </c>
      <c r="L10" s="10" t="n">
        <v>0.943383763051353</v>
      </c>
      <c r="M10" s="10" t="n">
        <v>1.07225655231195</v>
      </c>
      <c r="N10" s="10" t="n">
        <v>11.3587896867675</v>
      </c>
      <c r="O10" s="10" t="n">
        <v>21.7740251438312</v>
      </c>
      <c r="P10" s="11" t="n">
        <v>18.6972111553785</v>
      </c>
      <c r="Q10" s="8" t="n">
        <v>6.72908587257618</v>
      </c>
      <c r="R10" s="8" t="n">
        <v>31.2203494566375</v>
      </c>
      <c r="S10" s="9" t="n">
        <v>0.157</v>
      </c>
      <c r="T10" s="9" t="n">
        <v>0.588</v>
      </c>
    </row>
    <row r="11" customFormat="false" ht="15" hidden="false" customHeight="true" outlineLevel="0" collapsed="false">
      <c r="A11" s="7" t="n">
        <v>201569</v>
      </c>
      <c r="B11" s="7" t="s">
        <v>52</v>
      </c>
      <c r="C11" s="8" t="n">
        <v>239</v>
      </c>
      <c r="D11" s="8" t="n">
        <v>6370</v>
      </c>
      <c r="E11" s="8" t="n">
        <v>27378</v>
      </c>
      <c r="F11" s="9" t="n">
        <v>-0.952</v>
      </c>
      <c r="G11" s="9" t="n">
        <v>0.594420565149136</v>
      </c>
      <c r="H11" s="9" t="n">
        <v>0.587671114599686</v>
      </c>
      <c r="I11" s="9" t="n">
        <v>0.204746781789639</v>
      </c>
      <c r="J11" s="10" t="n">
        <v>3.63940345368917</v>
      </c>
      <c r="K11" s="10" t="n">
        <v>12.316043956044</v>
      </c>
      <c r="L11" s="10" t="n">
        <v>1.2894191522763</v>
      </c>
      <c r="M11" s="10" t="n">
        <v>1.2443328100471</v>
      </c>
      <c r="N11" s="10" t="n">
        <v>12.1936106750393</v>
      </c>
      <c r="O11" s="10" t="n">
        <v>17.1716640502355</v>
      </c>
      <c r="P11" s="11" t="n">
        <v>26.652719665272</v>
      </c>
      <c r="Q11" s="8" t="n">
        <v>0.98701726844584</v>
      </c>
      <c r="R11" s="8" t="n">
        <v>6.27062794348509</v>
      </c>
      <c r="S11" s="9" t="n">
        <v>-0.253</v>
      </c>
      <c r="T11" s="9" t="n">
        <v>-0.699</v>
      </c>
    </row>
    <row r="12" customFormat="false" ht="15" hidden="false" customHeight="true" outlineLevel="0" collapsed="false">
      <c r="A12" s="7" t="n">
        <v>201572</v>
      </c>
      <c r="B12" s="7" t="s">
        <v>53</v>
      </c>
      <c r="C12" s="8" t="n">
        <v>325</v>
      </c>
      <c r="D12" s="8" t="n">
        <v>9263</v>
      </c>
      <c r="E12" s="8" t="n">
        <v>41492</v>
      </c>
      <c r="F12" s="9" t="n">
        <v>0.176</v>
      </c>
      <c r="G12" s="9" t="n">
        <v>0.606926697614164</v>
      </c>
      <c r="H12" s="9" t="n">
        <v>0.491772319982727</v>
      </c>
      <c r="I12" s="9" t="n">
        <v>0.178892475439922</v>
      </c>
      <c r="J12" s="10" t="n">
        <v>9.71939976249595</v>
      </c>
      <c r="K12" s="10" t="n">
        <v>7.15143042210947</v>
      </c>
      <c r="L12" s="10" t="n">
        <v>0.949886645795099</v>
      </c>
      <c r="M12" s="10" t="n">
        <v>5.9814962755047</v>
      </c>
      <c r="N12" s="10" t="n">
        <v>9.24767353988989</v>
      </c>
      <c r="O12" s="10" t="n">
        <v>17.1920436143798</v>
      </c>
      <c r="P12" s="11" t="n">
        <v>28.5015384615385</v>
      </c>
      <c r="Q12" s="8" t="n">
        <v>5.44642124581669</v>
      </c>
      <c r="R12" s="8" t="n">
        <v>13.7005721688438</v>
      </c>
      <c r="S12" s="9" t="n">
        <v>-2.364</v>
      </c>
      <c r="T12" s="9" t="n">
        <v>2.541</v>
      </c>
    </row>
    <row r="13" customFormat="false" ht="15" hidden="false" customHeight="true" outlineLevel="0" collapsed="false">
      <c r="A13" s="7" t="n">
        <v>201587</v>
      </c>
      <c r="B13" s="7" t="s">
        <v>54</v>
      </c>
      <c r="C13" s="8" t="n">
        <v>349</v>
      </c>
      <c r="D13" s="8" t="n">
        <v>7363</v>
      </c>
      <c r="E13" s="8" t="n">
        <v>31467</v>
      </c>
      <c r="F13" s="9" t="n">
        <v>0.602</v>
      </c>
      <c r="G13" s="9" t="n">
        <v>0.607474263207932</v>
      </c>
      <c r="H13" s="9" t="n">
        <v>0.808799402417493</v>
      </c>
      <c r="I13" s="9" t="n">
        <v>0.0901741138123047</v>
      </c>
      <c r="J13" s="10" t="n">
        <v>9.10230884150482</v>
      </c>
      <c r="K13" s="10" t="n">
        <v>8.92246366969985</v>
      </c>
      <c r="L13" s="10" t="n">
        <v>1.70650550047535</v>
      </c>
      <c r="M13" s="10" t="n">
        <v>2.27003938611979</v>
      </c>
      <c r="N13" s="10" t="n">
        <v>11.653062610349</v>
      </c>
      <c r="O13" s="10" t="n">
        <v>10.4571234551134</v>
      </c>
      <c r="P13" s="11" t="n">
        <v>21.0974212034384</v>
      </c>
      <c r="Q13" s="8" t="n">
        <v>3.53904658427272</v>
      </c>
      <c r="R13" s="8" t="n">
        <v>14.5132962107837</v>
      </c>
      <c r="S13" s="9" t="n">
        <v>-0.135</v>
      </c>
      <c r="T13" s="9" t="n">
        <v>0.737</v>
      </c>
    </row>
    <row r="14" customFormat="false" ht="15" hidden="false" customHeight="true" outlineLevel="0" collapsed="false">
      <c r="A14" s="7" t="n">
        <v>201935</v>
      </c>
      <c r="B14" s="7" t="s">
        <v>55</v>
      </c>
      <c r="C14" s="8" t="n">
        <v>344</v>
      </c>
      <c r="D14" s="8" t="n">
        <v>12251</v>
      </c>
      <c r="E14" s="8" t="n">
        <v>57173</v>
      </c>
      <c r="F14" s="9" t="n">
        <v>1.436</v>
      </c>
      <c r="G14" s="9" t="n">
        <v>0.59817484286997</v>
      </c>
      <c r="H14" s="9" t="n">
        <v>0.514409599216391</v>
      </c>
      <c r="I14" s="9" t="n">
        <v>0.46013182597339</v>
      </c>
      <c r="J14" s="10" t="n">
        <v>9.32198187903028</v>
      </c>
      <c r="K14" s="10" t="n">
        <v>37.5607705493429</v>
      </c>
      <c r="L14" s="10" t="n">
        <v>1.7134111501102</v>
      </c>
      <c r="M14" s="10" t="n">
        <v>1.59827769161701</v>
      </c>
      <c r="N14" s="10" t="n">
        <v>16.9211574565342</v>
      </c>
      <c r="O14" s="10" t="n">
        <v>26.3109133948249</v>
      </c>
      <c r="P14" s="11" t="n">
        <v>35.6133720930233</v>
      </c>
      <c r="Q14" s="8" t="n">
        <v>2.13850297934863</v>
      </c>
      <c r="R14" s="8" t="n">
        <v>16.225491796588</v>
      </c>
      <c r="S14" s="9" t="n">
        <v>2.616</v>
      </c>
      <c r="T14" s="9" t="n">
        <v>-1.18</v>
      </c>
    </row>
    <row r="15" customFormat="false" ht="15" hidden="false" customHeight="true" outlineLevel="0" collapsed="false">
      <c r="A15" s="7" t="n">
        <v>201939</v>
      </c>
      <c r="B15" s="7" t="s">
        <v>56</v>
      </c>
      <c r="C15" s="8" t="n">
        <v>307</v>
      </c>
      <c r="D15" s="8" t="n">
        <v>10154</v>
      </c>
      <c r="E15" s="8" t="n">
        <v>48758</v>
      </c>
      <c r="F15" s="9" t="n">
        <v>6.192</v>
      </c>
      <c r="G15" s="9" t="n">
        <v>0.623572188300177</v>
      </c>
      <c r="H15" s="9" t="n">
        <v>0.603266003545401</v>
      </c>
      <c r="I15" s="9" t="n">
        <v>0.242766791412251</v>
      </c>
      <c r="J15" s="10" t="n">
        <v>7.91783533582824</v>
      </c>
      <c r="K15" s="10" t="n">
        <v>28.719095922789</v>
      </c>
      <c r="L15" s="10" t="n">
        <v>1.53711837699429</v>
      </c>
      <c r="M15" s="10" t="n">
        <v>1.07359661217254</v>
      </c>
      <c r="N15" s="10" t="n">
        <v>12.4053279495765</v>
      </c>
      <c r="O15" s="10" t="n">
        <v>30.9581642702383</v>
      </c>
      <c r="P15" s="11" t="n">
        <v>33.0749185667753</v>
      </c>
      <c r="Q15" s="8" t="n">
        <v>1.81978530628324</v>
      </c>
      <c r="R15" s="8" t="n">
        <v>13.9037817608824</v>
      </c>
      <c r="S15" s="9" t="n">
        <v>6.507</v>
      </c>
      <c r="T15" s="9" t="n">
        <v>-0.316</v>
      </c>
    </row>
    <row r="16" customFormat="false" ht="15" hidden="false" customHeight="true" outlineLevel="0" collapsed="false">
      <c r="A16" s="7" t="n">
        <v>201942</v>
      </c>
      <c r="B16" s="7" t="s">
        <v>57</v>
      </c>
      <c r="C16" s="8" t="n">
        <v>383</v>
      </c>
      <c r="D16" s="8" t="n">
        <v>13588</v>
      </c>
      <c r="E16" s="8" t="n">
        <v>56004</v>
      </c>
      <c r="F16" s="9" t="n">
        <v>-0.312</v>
      </c>
      <c r="G16" s="9" t="n">
        <v>0.585505298793053</v>
      </c>
      <c r="H16" s="9" t="n">
        <v>0.142582793641448</v>
      </c>
      <c r="I16" s="9" t="n">
        <v>0.401111127465411</v>
      </c>
      <c r="J16" s="10" t="n">
        <v>6.60463644392111</v>
      </c>
      <c r="K16" s="10" t="n">
        <v>21.2512731822196</v>
      </c>
      <c r="L16" s="10" t="n">
        <v>1.37566234913159</v>
      </c>
      <c r="M16" s="10" t="n">
        <v>1.13149102148955</v>
      </c>
      <c r="N16" s="10" t="n">
        <v>7.9815646158375</v>
      </c>
      <c r="O16" s="10" t="n">
        <v>26.7118045334118</v>
      </c>
      <c r="P16" s="11" t="n">
        <v>35.4778067885118</v>
      </c>
      <c r="Q16" s="8" t="n">
        <v>1.80305416544009</v>
      </c>
      <c r="R16" s="8" t="n">
        <v>11.4465557845158</v>
      </c>
      <c r="S16" s="9" t="n">
        <v>1.342</v>
      </c>
      <c r="T16" s="9" t="n">
        <v>-1.654</v>
      </c>
    </row>
    <row r="17" customFormat="false" ht="15" hidden="false" customHeight="true" outlineLevel="0" collapsed="false">
      <c r="A17" s="7" t="n">
        <v>201950</v>
      </c>
      <c r="B17" s="7" t="s">
        <v>58</v>
      </c>
      <c r="C17" s="8" t="n">
        <v>318</v>
      </c>
      <c r="D17" s="8" t="n">
        <v>10110</v>
      </c>
      <c r="E17" s="8" t="n">
        <v>48850</v>
      </c>
      <c r="F17" s="9" t="n">
        <v>4.669</v>
      </c>
      <c r="G17" s="9" t="n">
        <v>0.584046785361029</v>
      </c>
      <c r="H17" s="9" t="n">
        <v>0.443709099901088</v>
      </c>
      <c r="I17" s="9" t="n">
        <v>0.149878041543027</v>
      </c>
      <c r="J17" s="10" t="n">
        <v>8.05046488625124</v>
      </c>
      <c r="K17" s="10" t="n">
        <v>26.8904352126607</v>
      </c>
      <c r="L17" s="10" t="n">
        <v>1.76334322453017</v>
      </c>
      <c r="M17" s="10" t="n">
        <v>1.23839762611276</v>
      </c>
      <c r="N17" s="10" t="n">
        <v>14.4673095944609</v>
      </c>
      <c r="O17" s="10" t="n">
        <v>20.7682195845697</v>
      </c>
      <c r="P17" s="11" t="n">
        <v>31.7924528301887</v>
      </c>
      <c r="Q17" s="8" t="n">
        <v>4.1060237388724</v>
      </c>
      <c r="R17" s="8" t="n">
        <v>11.8496142433234</v>
      </c>
      <c r="S17" s="9" t="n">
        <v>2.445</v>
      </c>
      <c r="T17" s="9" t="n">
        <v>2.224</v>
      </c>
    </row>
    <row r="18" customFormat="false" ht="15" hidden="false" customHeight="true" outlineLevel="0" collapsed="false">
      <c r="A18" s="7" t="n">
        <v>202331</v>
      </c>
      <c r="B18" s="7" t="s">
        <v>59</v>
      </c>
      <c r="C18" s="8" t="n">
        <v>239</v>
      </c>
      <c r="D18" s="8" t="n">
        <v>7987</v>
      </c>
      <c r="E18" s="8" t="n">
        <v>34731</v>
      </c>
      <c r="F18" s="9" t="n">
        <v>3.549</v>
      </c>
      <c r="G18" s="9" t="n">
        <v>0.579015400025041</v>
      </c>
      <c r="H18" s="9" t="n">
        <v>0.455649305120821</v>
      </c>
      <c r="I18" s="9" t="n">
        <v>0.235254538625266</v>
      </c>
      <c r="J18" s="10" t="n">
        <v>9.46505571553775</v>
      </c>
      <c r="K18" s="10" t="n">
        <v>20.7136346563165</v>
      </c>
      <c r="L18" s="10" t="n">
        <v>2.44065356203831</v>
      </c>
      <c r="M18" s="10" t="n">
        <v>1.19584324527357</v>
      </c>
      <c r="N18" s="10" t="n">
        <v>12.3713534493552</v>
      </c>
      <c r="O18" s="10" t="n">
        <v>27.2747089019657</v>
      </c>
      <c r="P18" s="11" t="n">
        <v>33.418410041841</v>
      </c>
      <c r="Q18" s="8" t="n">
        <v>1.92959809690747</v>
      </c>
      <c r="R18" s="8" t="n">
        <v>16.8117315637912</v>
      </c>
      <c r="S18" s="9" t="n">
        <v>0.948</v>
      </c>
      <c r="T18" s="9" t="n">
        <v>2.601</v>
      </c>
    </row>
    <row r="19" customFormat="false" ht="15" hidden="false" customHeight="true" outlineLevel="0" collapsed="false">
      <c r="A19" s="7" t="n">
        <v>202685</v>
      </c>
      <c r="B19" s="7" t="s">
        <v>60</v>
      </c>
      <c r="C19" s="8" t="n">
        <v>381</v>
      </c>
      <c r="D19" s="8" t="n">
        <v>8528</v>
      </c>
      <c r="E19" s="8" t="n">
        <v>35689</v>
      </c>
      <c r="F19" s="9" t="n">
        <v>-0.524</v>
      </c>
      <c r="G19" s="9" t="n">
        <v>0.614483231707317</v>
      </c>
      <c r="H19" s="9" t="n">
        <v>0.130133677298311</v>
      </c>
      <c r="I19" s="9" t="n">
        <v>0.291338649155722</v>
      </c>
      <c r="J19" s="10" t="n">
        <v>21.6086421200751</v>
      </c>
      <c r="K19" s="10" t="n">
        <v>13.8263133208255</v>
      </c>
      <c r="L19" s="10" t="n">
        <v>0.828517823639775</v>
      </c>
      <c r="M19" s="10" t="n">
        <v>2.95880628517824</v>
      </c>
      <c r="N19" s="10" t="n">
        <v>13.9680229831144</v>
      </c>
      <c r="O19" s="10" t="n">
        <v>23.0867143527205</v>
      </c>
      <c r="P19" s="11" t="n">
        <v>22.3832020997375</v>
      </c>
      <c r="Q19" s="8" t="n">
        <v>12.1505511257036</v>
      </c>
      <c r="R19" s="8" t="n">
        <v>31.0819301125704</v>
      </c>
      <c r="S19" s="9" t="n">
        <v>0.215</v>
      </c>
      <c r="T19" s="9" t="n">
        <v>-0.739</v>
      </c>
    </row>
    <row r="20" customFormat="false" ht="15" hidden="false" customHeight="true" outlineLevel="0" collapsed="false">
      <c r="A20" s="7" t="n">
        <v>202687</v>
      </c>
      <c r="B20" s="7" t="s">
        <v>61</v>
      </c>
      <c r="C20" s="8" t="n">
        <v>190</v>
      </c>
      <c r="D20" s="8" t="n">
        <v>2840</v>
      </c>
      <c r="E20" s="8" t="n">
        <v>12264</v>
      </c>
      <c r="F20" s="9" t="n">
        <v>-3.628</v>
      </c>
      <c r="G20" s="9" t="n">
        <v>0.572180281690141</v>
      </c>
      <c r="H20" s="9" t="n">
        <v>0</v>
      </c>
      <c r="I20" s="9" t="n">
        <v>0.37058838028169</v>
      </c>
      <c r="J20" s="10" t="n">
        <v>15.7361267605634</v>
      </c>
      <c r="K20" s="10" t="n">
        <v>8.10524647887324</v>
      </c>
      <c r="L20" s="10" t="n">
        <v>1.04707746478873</v>
      </c>
      <c r="M20" s="10" t="n">
        <v>5.60440140845071</v>
      </c>
      <c r="N20" s="10" t="n">
        <v>18.4223943661972</v>
      </c>
      <c r="O20" s="10" t="n">
        <v>13.0093309859155</v>
      </c>
      <c r="P20" s="11" t="n">
        <v>14.9473684210526</v>
      </c>
      <c r="Q20" s="8" t="n">
        <v>9.94894366197183</v>
      </c>
      <c r="R20" s="8" t="n">
        <v>21.6335563380282</v>
      </c>
      <c r="S20" s="9" t="n">
        <v>-2.531</v>
      </c>
      <c r="T20" s="9" t="n">
        <v>-1.097</v>
      </c>
    </row>
    <row r="21" customFormat="false" ht="15" hidden="false" customHeight="true" outlineLevel="0" collapsed="false">
      <c r="A21" s="7" t="n">
        <v>202691</v>
      </c>
      <c r="B21" s="7" t="s">
        <v>62</v>
      </c>
      <c r="C21" s="8" t="n">
        <v>319</v>
      </c>
      <c r="D21" s="8" t="n">
        <v>8966</v>
      </c>
      <c r="E21" s="8" t="n">
        <v>42915</v>
      </c>
      <c r="F21" s="9" t="n">
        <v>-1.528</v>
      </c>
      <c r="G21" s="9" t="n">
        <v>0.561852777158153</v>
      </c>
      <c r="H21" s="9" t="n">
        <v>0.617521748828909</v>
      </c>
      <c r="I21" s="9" t="n">
        <v>0.0961156591568146</v>
      </c>
      <c r="J21" s="10" t="n">
        <v>6.39026321659603</v>
      </c>
      <c r="K21" s="10" t="n">
        <v>11.2700089225965</v>
      </c>
      <c r="L21" s="10" t="n">
        <v>1.04831585991524</v>
      </c>
      <c r="M21" s="10" t="n">
        <v>1.29992192728084</v>
      </c>
      <c r="N21" s="10" t="n">
        <v>8.38727414677671</v>
      </c>
      <c r="O21" s="10" t="n">
        <v>24.5495092571938</v>
      </c>
      <c r="P21" s="11" t="n">
        <v>28.1065830721003</v>
      </c>
      <c r="Q21" s="8" t="n">
        <v>1.86987508364934</v>
      </c>
      <c r="R21" s="8" t="n">
        <v>10.7537474905197</v>
      </c>
      <c r="S21" s="9" t="n">
        <v>-0.412</v>
      </c>
      <c r="T21" s="9" t="n">
        <v>-1.117</v>
      </c>
    </row>
    <row r="22" customFormat="false" ht="15" hidden="false" customHeight="true" outlineLevel="0" collapsed="false">
      <c r="A22" s="7" t="n">
        <v>202696</v>
      </c>
      <c r="B22" s="7" t="s">
        <v>63</v>
      </c>
      <c r="C22" s="8" t="n">
        <v>368</v>
      </c>
      <c r="D22" s="8" t="n">
        <v>11870</v>
      </c>
      <c r="E22" s="8" t="n">
        <v>49713</v>
      </c>
      <c r="F22" s="9" t="n">
        <v>-0.229</v>
      </c>
      <c r="G22" s="9" t="n">
        <v>0.569899578770009</v>
      </c>
      <c r="H22" s="9" t="n">
        <v>0.296279865206403</v>
      </c>
      <c r="I22" s="9" t="n">
        <v>0.122243302443134</v>
      </c>
      <c r="J22" s="10" t="n">
        <v>17.535450716091</v>
      </c>
      <c r="K22" s="10" t="n">
        <v>15.8087278854254</v>
      </c>
      <c r="L22" s="10" t="n">
        <v>1.14299915754002</v>
      </c>
      <c r="M22" s="10" t="n">
        <v>2.18980623420388</v>
      </c>
      <c r="N22" s="10" t="n">
        <v>9.57870261162595</v>
      </c>
      <c r="O22" s="10" t="n">
        <v>22.756849199663</v>
      </c>
      <c r="P22" s="11" t="n">
        <v>32.2554347826087</v>
      </c>
      <c r="Q22" s="8" t="n">
        <v>7.57096882898062</v>
      </c>
      <c r="R22" s="8" t="n">
        <v>27.4099073294019</v>
      </c>
      <c r="S22" s="9" t="n">
        <v>-0.03</v>
      </c>
      <c r="T22" s="9" t="n">
        <v>-0.199</v>
      </c>
    </row>
    <row r="23" customFormat="false" ht="15" hidden="false" customHeight="true" outlineLevel="0" collapsed="false">
      <c r="A23" s="7" t="n">
        <v>202699</v>
      </c>
      <c r="B23" s="7" t="s">
        <v>64</v>
      </c>
      <c r="C23" s="8" t="n">
        <v>353</v>
      </c>
      <c r="D23" s="8" t="n">
        <v>11399</v>
      </c>
      <c r="E23" s="8" t="n">
        <v>52858</v>
      </c>
      <c r="F23" s="9" t="n">
        <v>3.175</v>
      </c>
      <c r="G23" s="9" t="n">
        <v>0.578007544521449</v>
      </c>
      <c r="H23" s="9" t="n">
        <v>0.316282042284411</v>
      </c>
      <c r="I23" s="9" t="n">
        <v>0.201529783314326</v>
      </c>
      <c r="J23" s="10" t="n">
        <v>10.5317220808843</v>
      </c>
      <c r="K23" s="10" t="n">
        <v>12.7472848495482</v>
      </c>
      <c r="L23" s="10" t="n">
        <v>1.36009299061321</v>
      </c>
      <c r="M23" s="10" t="n">
        <v>1.74438985875954</v>
      </c>
      <c r="N23" s="10" t="n">
        <v>8.75172383542416</v>
      </c>
      <c r="O23" s="10" t="n">
        <v>19.4706816387402</v>
      </c>
      <c r="P23" s="11" t="n">
        <v>32.2917847025496</v>
      </c>
      <c r="Q23" s="8" t="n">
        <v>3.41089569260461</v>
      </c>
      <c r="R23" s="8" t="n">
        <v>17.4766470743048</v>
      </c>
      <c r="S23" s="9" t="n">
        <v>1.301</v>
      </c>
      <c r="T23" s="9" t="n">
        <v>1.874</v>
      </c>
    </row>
    <row r="24" customFormat="false" ht="15" hidden="false" customHeight="true" outlineLevel="0" collapsed="false">
      <c r="A24" s="7" t="n">
        <v>202710</v>
      </c>
      <c r="B24" s="7" t="s">
        <v>65</v>
      </c>
      <c r="C24" s="8" t="n">
        <v>274</v>
      </c>
      <c r="D24" s="8" t="n">
        <v>9039</v>
      </c>
      <c r="E24" s="8" t="n">
        <v>43464</v>
      </c>
      <c r="F24" s="9" t="n">
        <v>4.281</v>
      </c>
      <c r="G24" s="9" t="n">
        <v>0.626319061843124</v>
      </c>
      <c r="H24" s="9" t="n">
        <v>0.156358667994247</v>
      </c>
      <c r="I24" s="9" t="n">
        <v>0.604030423719438</v>
      </c>
      <c r="J24" s="10" t="n">
        <v>9.62397389091714</v>
      </c>
      <c r="K24" s="10" t="n">
        <v>25.3716119039717</v>
      </c>
      <c r="L24" s="10" t="n">
        <v>2.30629494413099</v>
      </c>
      <c r="M24" s="10" t="n">
        <v>1.00932625290408</v>
      </c>
      <c r="N24" s="10" t="n">
        <v>9.19959066268393</v>
      </c>
      <c r="O24" s="10" t="n">
        <v>24.2028653612125</v>
      </c>
      <c r="P24" s="11" t="n">
        <v>32.9890510948905</v>
      </c>
      <c r="Q24" s="8" t="n">
        <v>6.94704060183649</v>
      </c>
      <c r="R24" s="8" t="n">
        <v>12.347394623299</v>
      </c>
      <c r="S24" s="9" t="n">
        <v>3.706</v>
      </c>
      <c r="T24" s="9" t="n">
        <v>0.575</v>
      </c>
    </row>
    <row r="25" customFormat="false" ht="15" hidden="false" customHeight="true" outlineLevel="0" collapsed="false">
      <c r="A25" s="7" t="n">
        <v>203076</v>
      </c>
      <c r="B25" s="7" t="s">
        <v>66</v>
      </c>
      <c r="C25" s="8" t="n">
        <v>243</v>
      </c>
      <c r="D25" s="8" t="n">
        <v>8340</v>
      </c>
      <c r="E25" s="8" t="n">
        <v>37944</v>
      </c>
      <c r="F25" s="9" t="n">
        <v>3.791</v>
      </c>
      <c r="G25" s="9" t="n">
        <v>0.603126378896883</v>
      </c>
      <c r="H25" s="9" t="n">
        <v>0.0976035971223021</v>
      </c>
      <c r="I25" s="9" t="n">
        <v>0.395791366906475</v>
      </c>
      <c r="J25" s="10" t="n">
        <v>18.8215587529976</v>
      </c>
      <c r="K25" s="10" t="n">
        <v>15.3373141486811</v>
      </c>
      <c r="L25" s="10" t="n">
        <v>1.62196642685851</v>
      </c>
      <c r="M25" s="10" t="n">
        <v>5.53431654676259</v>
      </c>
      <c r="N25" s="10" t="n">
        <v>9.50386091127098</v>
      </c>
      <c r="O25" s="10" t="n">
        <v>27.9723501199041</v>
      </c>
      <c r="P25" s="11" t="n">
        <v>34.320987654321</v>
      </c>
      <c r="Q25" s="8" t="n">
        <v>9.96736211031175</v>
      </c>
      <c r="R25" s="8" t="n">
        <v>27.1231654676259</v>
      </c>
      <c r="S25" s="9" t="n">
        <v>0.648</v>
      </c>
      <c r="T25" s="9" t="n">
        <v>3.143</v>
      </c>
    </row>
    <row r="26" customFormat="false" ht="15" hidden="false" customHeight="true" outlineLevel="0" collapsed="false">
      <c r="A26" s="7" t="n">
        <v>203078</v>
      </c>
      <c r="B26" s="7" t="s">
        <v>67</v>
      </c>
      <c r="C26" s="8" t="n">
        <v>202</v>
      </c>
      <c r="D26" s="8" t="n">
        <v>6702</v>
      </c>
      <c r="E26" s="8" t="n">
        <v>27703</v>
      </c>
      <c r="F26" s="9" t="n">
        <v>-1.367</v>
      </c>
      <c r="G26" s="9" t="n">
        <v>0.58425410325276</v>
      </c>
      <c r="H26" s="9" t="n">
        <v>0.308579677708147</v>
      </c>
      <c r="I26" s="9" t="n">
        <v>0.222401074306177</v>
      </c>
      <c r="J26" s="10" t="n">
        <v>6.65726648761564</v>
      </c>
      <c r="K26" s="10" t="n">
        <v>23.8716353327365</v>
      </c>
      <c r="L26" s="10" t="n">
        <v>1.40467024768726</v>
      </c>
      <c r="M26" s="10" t="n">
        <v>1.34128618322889</v>
      </c>
      <c r="N26" s="10" t="n">
        <v>13.0990152193375</v>
      </c>
      <c r="O26" s="10" t="n">
        <v>25.90034318114</v>
      </c>
      <c r="P26" s="11" t="n">
        <v>33.1782178217822</v>
      </c>
      <c r="Q26" s="8" t="n">
        <v>2.91244404655327</v>
      </c>
      <c r="R26" s="8" t="n">
        <v>10.1280065652044</v>
      </c>
      <c r="S26" s="9" t="n">
        <v>-0.549</v>
      </c>
      <c r="T26" s="9" t="n">
        <v>-0.818</v>
      </c>
    </row>
    <row r="27" customFormat="false" ht="15" hidden="false" customHeight="true" outlineLevel="0" collapsed="false">
      <c r="A27" s="7" t="n">
        <v>203083</v>
      </c>
      <c r="B27" s="7" t="s">
        <v>68</v>
      </c>
      <c r="C27" s="8" t="n">
        <v>322</v>
      </c>
      <c r="D27" s="8" t="n">
        <v>5619</v>
      </c>
      <c r="E27" s="8" t="n">
        <v>23473</v>
      </c>
      <c r="F27" s="9" t="n">
        <v>-1.185</v>
      </c>
      <c r="G27" s="9" t="n">
        <v>0.566435664709023</v>
      </c>
      <c r="H27" s="9" t="n">
        <v>0.0747492436376579</v>
      </c>
      <c r="I27" s="9" t="n">
        <v>0.380988610072967</v>
      </c>
      <c r="J27" s="10" t="n">
        <v>26.515234027407</v>
      </c>
      <c r="K27" s="10" t="n">
        <v>8.20928990923652</v>
      </c>
      <c r="L27" s="10" t="n">
        <v>2.40863142907991</v>
      </c>
      <c r="M27" s="10" t="n">
        <v>3.53941982559174</v>
      </c>
      <c r="N27" s="10" t="n">
        <v>15.7979889660082</v>
      </c>
      <c r="O27" s="10" t="n">
        <v>18.9703327994305</v>
      </c>
      <c r="P27" s="11" t="n">
        <v>17.4503105590062</v>
      </c>
      <c r="Q27" s="8" t="n">
        <v>18.5437088449902</v>
      </c>
      <c r="R27" s="8" t="n">
        <v>34.538939313045</v>
      </c>
      <c r="S27" s="9" t="n">
        <v>-1.313</v>
      </c>
      <c r="T27" s="9" t="n">
        <v>0.129</v>
      </c>
    </row>
    <row r="28" customFormat="false" ht="15" hidden="false" customHeight="true" outlineLevel="0" collapsed="false">
      <c r="A28" s="7" t="n">
        <v>203084</v>
      </c>
      <c r="B28" s="7" t="s">
        <v>69</v>
      </c>
      <c r="C28" s="8" t="n">
        <v>400</v>
      </c>
      <c r="D28" s="8" t="n">
        <v>11839</v>
      </c>
      <c r="E28" s="8" t="n">
        <v>50558</v>
      </c>
      <c r="F28" s="9" t="n">
        <v>-1.781</v>
      </c>
      <c r="G28" s="9" t="n">
        <v>0.626309907931413</v>
      </c>
      <c r="H28" s="9" t="n">
        <v>0.503987330010981</v>
      </c>
      <c r="I28" s="9" t="n">
        <v>0.369854379592871</v>
      </c>
      <c r="J28" s="10" t="n">
        <v>7.31282202888758</v>
      </c>
      <c r="K28" s="10" t="n">
        <v>8.07808091899654</v>
      </c>
      <c r="L28" s="10" t="n">
        <v>1.01598952614241</v>
      </c>
      <c r="M28" s="10" t="n">
        <v>0.473866035982769</v>
      </c>
      <c r="N28" s="10" t="n">
        <v>8.04025677844413</v>
      </c>
      <c r="O28" s="10" t="n">
        <v>16.5058281949489</v>
      </c>
      <c r="P28" s="11" t="n">
        <v>29.5975</v>
      </c>
      <c r="Q28" s="8" t="n">
        <v>3.69124926091731</v>
      </c>
      <c r="R28" s="8" t="n">
        <v>10.9579356364558</v>
      </c>
      <c r="S28" s="9" t="n">
        <v>0.375</v>
      </c>
      <c r="T28" s="9" t="n">
        <v>-2.156</v>
      </c>
    </row>
    <row r="29" customFormat="false" ht="15" hidden="false" customHeight="true" outlineLevel="0" collapsed="false">
      <c r="A29" s="7" t="n">
        <v>203110</v>
      </c>
      <c r="B29" s="7" t="s">
        <v>70</v>
      </c>
      <c r="C29" s="8" t="n">
        <v>310</v>
      </c>
      <c r="D29" s="8" t="n">
        <v>8968</v>
      </c>
      <c r="E29" s="8" t="n">
        <v>43345</v>
      </c>
      <c r="F29" s="9" t="n">
        <v>2.235</v>
      </c>
      <c r="G29" s="9" t="n">
        <v>0.566025200713649</v>
      </c>
      <c r="H29" s="9" t="n">
        <v>0.397772078501338</v>
      </c>
      <c r="I29" s="9" t="n">
        <v>0.24346320249777</v>
      </c>
      <c r="J29" s="10" t="n">
        <v>12.4755575379126</v>
      </c>
      <c r="K29" s="10" t="n">
        <v>28.1714317573595</v>
      </c>
      <c r="L29" s="10" t="n">
        <v>1.87342774308653</v>
      </c>
      <c r="M29" s="10" t="n">
        <v>2.79388938447815</v>
      </c>
      <c r="N29" s="10" t="n">
        <v>26.5448483496878</v>
      </c>
      <c r="O29" s="10" t="n">
        <v>14.9133251561106</v>
      </c>
      <c r="P29" s="11" t="n">
        <v>28.9290322580645</v>
      </c>
      <c r="Q29" s="8" t="n">
        <v>3.84245093666369</v>
      </c>
      <c r="R29" s="8" t="n">
        <v>21.0571476360393</v>
      </c>
      <c r="S29" s="9" t="n">
        <v>-1.19</v>
      </c>
      <c r="T29" s="9" t="n">
        <v>3.425</v>
      </c>
    </row>
    <row r="30" customFormat="false" ht="15" hidden="false" customHeight="true" outlineLevel="0" collapsed="false">
      <c r="A30" s="7" t="n">
        <v>203114</v>
      </c>
      <c r="B30" s="7" t="s">
        <v>71</v>
      </c>
      <c r="C30" s="8" t="n">
        <v>254</v>
      </c>
      <c r="D30" s="8" t="n">
        <v>6711</v>
      </c>
      <c r="E30" s="8" t="n">
        <v>30147</v>
      </c>
      <c r="F30" s="9" t="n">
        <v>0.003</v>
      </c>
      <c r="G30" s="9" t="n">
        <v>0.569832215765162</v>
      </c>
      <c r="H30" s="9" t="n">
        <v>0.391675309193861</v>
      </c>
      <c r="I30" s="9" t="n">
        <v>0.247629265385188</v>
      </c>
      <c r="J30" s="10" t="n">
        <v>8.93546416331396</v>
      </c>
      <c r="K30" s="10" t="n">
        <v>25.2790344210997</v>
      </c>
      <c r="L30" s="10" t="n">
        <v>1.59395023096409</v>
      </c>
      <c r="M30" s="10" t="n">
        <v>0.734585009685591</v>
      </c>
      <c r="N30" s="10" t="n">
        <v>14.4794069438236</v>
      </c>
      <c r="O30" s="10" t="n">
        <v>24.2647593503204</v>
      </c>
      <c r="P30" s="11" t="n">
        <v>26.4212598425197</v>
      </c>
      <c r="Q30" s="8" t="n">
        <v>2.81659961257637</v>
      </c>
      <c r="R30" s="8" t="n">
        <v>14.8386231560125</v>
      </c>
      <c r="S30" s="9" t="n">
        <v>1.076</v>
      </c>
      <c r="T30" s="9" t="n">
        <v>-1.073</v>
      </c>
    </row>
    <row r="31" customFormat="false" ht="15" hidden="false" customHeight="true" outlineLevel="0" collapsed="false">
      <c r="A31" s="7" t="n">
        <v>203468</v>
      </c>
      <c r="B31" s="7" t="s">
        <v>72</v>
      </c>
      <c r="C31" s="8" t="n">
        <v>335</v>
      </c>
      <c r="D31" s="8" t="n">
        <v>11049</v>
      </c>
      <c r="E31" s="8" t="n">
        <v>47684</v>
      </c>
      <c r="F31" s="9" t="n">
        <v>0.1</v>
      </c>
      <c r="G31" s="9" t="n">
        <v>0.559910037107431</v>
      </c>
      <c r="H31" s="9" t="n">
        <v>0.444941533170423</v>
      </c>
      <c r="I31" s="9" t="n">
        <v>0.167262829215314</v>
      </c>
      <c r="J31" s="10" t="n">
        <v>6.72119648836999</v>
      </c>
      <c r="K31" s="10" t="n">
        <v>22.7185265634899</v>
      </c>
      <c r="L31" s="10" t="n">
        <v>1.36120010860711</v>
      </c>
      <c r="M31" s="10" t="n">
        <v>1.4034663770477</v>
      </c>
      <c r="N31" s="10" t="n">
        <v>9.7291248076749</v>
      </c>
      <c r="O31" s="10" t="n">
        <v>26.2705765227622</v>
      </c>
      <c r="P31" s="11" t="n">
        <v>32.9820895522388</v>
      </c>
      <c r="Q31" s="8" t="n">
        <v>2.46311883428365</v>
      </c>
      <c r="R31" s="8" t="n">
        <v>11.0926418680424</v>
      </c>
      <c r="S31" s="9" t="n">
        <v>1.577</v>
      </c>
      <c r="T31" s="9" t="n">
        <v>-1.477</v>
      </c>
    </row>
    <row r="32" customFormat="false" ht="15" hidden="false" customHeight="true" outlineLevel="0" collapsed="false">
      <c r="A32" s="7" t="n">
        <v>203471</v>
      </c>
      <c r="B32" s="7" t="s">
        <v>73</v>
      </c>
      <c r="C32" s="8" t="n">
        <v>355</v>
      </c>
      <c r="D32" s="8" t="n">
        <v>10111</v>
      </c>
      <c r="E32" s="8" t="n">
        <v>44383</v>
      </c>
      <c r="F32" s="9" t="n">
        <v>-1.243</v>
      </c>
      <c r="G32" s="9" t="n">
        <v>0.539035703689052</v>
      </c>
      <c r="H32" s="9" t="n">
        <v>0.382486598753832</v>
      </c>
      <c r="I32" s="9" t="n">
        <v>0.287960933636633</v>
      </c>
      <c r="J32" s="10" t="n">
        <v>5.43513994659282</v>
      </c>
      <c r="K32" s="10" t="n">
        <v>25.8532687172387</v>
      </c>
      <c r="L32" s="10" t="n">
        <v>1.36592819701315</v>
      </c>
      <c r="M32" s="10" t="n">
        <v>0.524379388784492</v>
      </c>
      <c r="N32" s="10" t="n">
        <v>13.6900306596776</v>
      </c>
      <c r="O32" s="10" t="n">
        <v>20.7720898031847</v>
      </c>
      <c r="P32" s="11" t="n">
        <v>28.4816901408451</v>
      </c>
      <c r="Q32" s="8" t="n">
        <v>1.66097319750767</v>
      </c>
      <c r="R32" s="8" t="n">
        <v>9.32046286222925</v>
      </c>
      <c r="S32" s="9" t="n">
        <v>-0.825</v>
      </c>
      <c r="T32" s="9" t="n">
        <v>-0.418</v>
      </c>
    </row>
    <row r="33" customFormat="false" ht="15" hidden="false" customHeight="true" outlineLevel="0" collapsed="false">
      <c r="A33" s="7" t="n">
        <v>203482</v>
      </c>
      <c r="B33" s="7" t="s">
        <v>74</v>
      </c>
      <c r="C33" s="8" t="n">
        <v>272</v>
      </c>
      <c r="D33" s="8" t="n">
        <v>5716</v>
      </c>
      <c r="E33" s="8" t="n">
        <v>23789</v>
      </c>
      <c r="F33" s="9" t="n">
        <v>-1.989</v>
      </c>
      <c r="G33" s="9" t="n">
        <v>0.62894121763471</v>
      </c>
      <c r="H33" s="9" t="n">
        <v>0.372513121063681</v>
      </c>
      <c r="I33" s="9" t="n">
        <v>0.382401854443667</v>
      </c>
      <c r="J33" s="10" t="n">
        <v>12.2601294611617</v>
      </c>
      <c r="K33" s="10" t="n">
        <v>21.8912351294612</v>
      </c>
      <c r="L33" s="10" t="n">
        <v>1.79895031490553</v>
      </c>
      <c r="M33" s="10" t="n">
        <v>1.65509097270819</v>
      </c>
      <c r="N33" s="10" t="n">
        <v>19.4792687193842</v>
      </c>
      <c r="O33" s="10" t="n">
        <v>18.1979706088174</v>
      </c>
      <c r="P33" s="11" t="n">
        <v>21.014705882353</v>
      </c>
      <c r="Q33" s="8" t="n">
        <v>6.20433869839048</v>
      </c>
      <c r="R33" s="8" t="n">
        <v>18.3534464660602</v>
      </c>
      <c r="S33" s="9" t="n">
        <v>-0.382</v>
      </c>
      <c r="T33" s="9" t="n">
        <v>-1.607</v>
      </c>
    </row>
    <row r="34" customFormat="false" ht="15" hidden="false" customHeight="true" outlineLevel="0" collapsed="false">
      <c r="A34" s="7" t="n">
        <v>203484</v>
      </c>
      <c r="B34" s="7" t="s">
        <v>75</v>
      </c>
      <c r="C34" s="8" t="n">
        <v>357</v>
      </c>
      <c r="D34" s="8" t="n">
        <v>10479</v>
      </c>
      <c r="E34" s="8" t="n">
        <v>47330</v>
      </c>
      <c r="F34" s="9" t="n">
        <v>0.092</v>
      </c>
      <c r="G34" s="9" t="n">
        <v>0.580280942838057</v>
      </c>
      <c r="H34" s="9" t="n">
        <v>0.525763527054108</v>
      </c>
      <c r="I34" s="9" t="n">
        <v>0.19136511117473</v>
      </c>
      <c r="J34" s="10" t="n">
        <v>5.05568279415975</v>
      </c>
      <c r="K34" s="10" t="n">
        <v>10.1566561694818</v>
      </c>
      <c r="L34" s="10" t="n">
        <v>2.05682794159748</v>
      </c>
      <c r="M34" s="10" t="n">
        <v>1.21639469415021</v>
      </c>
      <c r="N34" s="10" t="n">
        <v>10.5653497471133</v>
      </c>
      <c r="O34" s="10" t="n">
        <v>14.9180360721443</v>
      </c>
      <c r="P34" s="11" t="n">
        <v>29.3529411764706</v>
      </c>
      <c r="Q34" s="8" t="n">
        <v>1.73023189235614</v>
      </c>
      <c r="R34" s="8" t="n">
        <v>8.35480484779082</v>
      </c>
      <c r="S34" s="9" t="n">
        <v>-1.131</v>
      </c>
      <c r="T34" s="9" t="n">
        <v>1.223</v>
      </c>
    </row>
    <row r="35" customFormat="false" ht="15" hidden="false" customHeight="true" outlineLevel="0" collapsed="false">
      <c r="A35" s="7" t="n">
        <v>203486</v>
      </c>
      <c r="B35" s="7" t="s">
        <v>76</v>
      </c>
      <c r="C35" s="8" t="n">
        <v>292</v>
      </c>
      <c r="D35" s="8" t="n">
        <v>5993</v>
      </c>
      <c r="E35" s="8" t="n">
        <v>25425</v>
      </c>
      <c r="F35" s="9" t="n">
        <v>-0.559</v>
      </c>
      <c r="G35" s="9" t="n">
        <v>0.648374269981645</v>
      </c>
      <c r="H35" s="9" t="n">
        <v>0.0105196062072417</v>
      </c>
      <c r="I35" s="9" t="n">
        <v>0.620503587518772</v>
      </c>
      <c r="J35" s="10" t="n">
        <v>18.2305189387619</v>
      </c>
      <c r="K35" s="10" t="n">
        <v>15.4224929083931</v>
      </c>
      <c r="L35" s="10" t="n">
        <v>1.33051893876189</v>
      </c>
      <c r="M35" s="10" t="n">
        <v>2.489454363424</v>
      </c>
      <c r="N35" s="10" t="n">
        <v>18.3070916068747</v>
      </c>
      <c r="O35" s="10" t="n">
        <v>12.9776572668113</v>
      </c>
      <c r="P35" s="11" t="n">
        <v>20.5239726027397</v>
      </c>
      <c r="Q35" s="8" t="n">
        <v>10.7995661605206</v>
      </c>
      <c r="R35" s="8" t="n">
        <v>25.5656766227265</v>
      </c>
      <c r="S35" s="9" t="n">
        <v>-0.366</v>
      </c>
      <c r="T35" s="9" t="n">
        <v>-0.193</v>
      </c>
    </row>
    <row r="36" customFormat="false" ht="15" hidden="false" customHeight="true" outlineLevel="0" collapsed="false">
      <c r="A36" s="7" t="n">
        <v>203497</v>
      </c>
      <c r="B36" s="7" t="s">
        <v>77</v>
      </c>
      <c r="C36" s="8" t="n">
        <v>360</v>
      </c>
      <c r="D36" s="8" t="n">
        <v>11630</v>
      </c>
      <c r="E36" s="8" t="n">
        <v>53425</v>
      </c>
      <c r="F36" s="9" t="n">
        <v>3.853</v>
      </c>
      <c r="G36" s="9" t="n">
        <v>0.685604299226139</v>
      </c>
      <c r="H36" s="9" t="n">
        <v>0.0055429922613929</v>
      </c>
      <c r="I36" s="9" t="n">
        <v>0.649892863284609</v>
      </c>
      <c r="J36" s="10" t="n">
        <v>21.1182201203783</v>
      </c>
      <c r="K36" s="10" t="n">
        <v>6.22657781599312</v>
      </c>
      <c r="L36" s="10" t="n">
        <v>1.11895098882201</v>
      </c>
      <c r="M36" s="10" t="n">
        <v>4.74871883061049</v>
      </c>
      <c r="N36" s="10" t="n">
        <v>13.8303611349957</v>
      </c>
      <c r="O36" s="10" t="n">
        <v>14.8350472914875</v>
      </c>
      <c r="P36" s="11" t="n">
        <v>32.3055555555556</v>
      </c>
      <c r="Q36" s="8" t="n">
        <v>12.9787102321582</v>
      </c>
      <c r="R36" s="8" t="n">
        <v>28.8204815133276</v>
      </c>
      <c r="S36" s="9" t="n">
        <v>-0.993</v>
      </c>
      <c r="T36" s="9" t="n">
        <v>4.846</v>
      </c>
    </row>
    <row r="37" customFormat="false" ht="15" hidden="false" customHeight="true" outlineLevel="0" collapsed="false">
      <c r="A37" s="7" t="n">
        <v>203501</v>
      </c>
      <c r="B37" s="7" t="s">
        <v>78</v>
      </c>
      <c r="C37" s="8" t="n">
        <v>349</v>
      </c>
      <c r="D37" s="8" t="n">
        <v>9797</v>
      </c>
      <c r="E37" s="8" t="n">
        <v>41806</v>
      </c>
      <c r="F37" s="9" t="n">
        <v>-1.204</v>
      </c>
      <c r="G37" s="9" t="n">
        <v>0.56513698070838</v>
      </c>
      <c r="H37" s="9" t="n">
        <v>0.64889210982954</v>
      </c>
      <c r="I37" s="9" t="n">
        <v>0.206443094824946</v>
      </c>
      <c r="J37" s="10" t="n">
        <v>5.9950495049505</v>
      </c>
      <c r="K37" s="10" t="n">
        <v>8.58467898336225</v>
      </c>
      <c r="L37" s="10" t="n">
        <v>1.04155353679698</v>
      </c>
      <c r="M37" s="10" t="n">
        <v>0.356711238134123</v>
      </c>
      <c r="N37" s="10" t="n">
        <v>5.75414922935593</v>
      </c>
      <c r="O37" s="10" t="n">
        <v>19.6339899969378</v>
      </c>
      <c r="P37" s="11" t="n">
        <v>28.0716332378224</v>
      </c>
      <c r="Q37" s="8" t="n">
        <v>1.02533428600592</v>
      </c>
      <c r="R37" s="8" t="n">
        <v>10.8779116055936</v>
      </c>
      <c r="S37" s="9" t="n">
        <v>0.298</v>
      </c>
      <c r="T37" s="9" t="n">
        <v>-1.502</v>
      </c>
    </row>
    <row r="38" customFormat="false" ht="15" hidden="false" customHeight="true" outlineLevel="0" collapsed="false">
      <c r="A38" s="7" t="n">
        <v>203507</v>
      </c>
      <c r="B38" s="7" t="s">
        <v>79</v>
      </c>
      <c r="C38" s="8" t="n">
        <v>306</v>
      </c>
      <c r="D38" s="8" t="n">
        <v>10123</v>
      </c>
      <c r="E38" s="8" t="n">
        <v>45144</v>
      </c>
      <c r="F38" s="9" t="n">
        <v>7.541</v>
      </c>
      <c r="G38" s="9" t="n">
        <v>0.632215943890151</v>
      </c>
      <c r="H38" s="9" t="n">
        <v>0.110657512595081</v>
      </c>
      <c r="I38" s="9" t="n">
        <v>0.581932233527611</v>
      </c>
      <c r="J38" s="10" t="n">
        <v>18.6962659290724</v>
      </c>
      <c r="K38" s="10" t="n">
        <v>33.9442655339326</v>
      </c>
      <c r="L38" s="10" t="n">
        <v>1.4295762125852</v>
      </c>
      <c r="M38" s="10" t="n">
        <v>2.90972043860516</v>
      </c>
      <c r="N38" s="10" t="n">
        <v>12.4032500246962</v>
      </c>
      <c r="O38" s="10" t="n">
        <v>35.4813395238566</v>
      </c>
      <c r="P38" s="11" t="n">
        <v>33.0816993464052</v>
      </c>
      <c r="Q38" s="8" t="n">
        <v>7.82621752444927</v>
      </c>
      <c r="R38" s="8" t="n">
        <v>28.9916526721328</v>
      </c>
      <c r="S38" s="9" t="n">
        <v>5.002</v>
      </c>
      <c r="T38" s="9" t="n">
        <v>2.539</v>
      </c>
    </row>
    <row r="39" customFormat="false" ht="15" hidden="false" customHeight="true" outlineLevel="0" collapsed="false">
      <c r="A39" s="7" t="n">
        <v>203552</v>
      </c>
      <c r="B39" s="7" t="s">
        <v>80</v>
      </c>
      <c r="C39" s="8" t="n">
        <v>247</v>
      </c>
      <c r="D39" s="8" t="n">
        <v>5157</v>
      </c>
      <c r="E39" s="8" t="n">
        <v>21488</v>
      </c>
      <c r="F39" s="9" t="n">
        <v>-2.055</v>
      </c>
      <c r="G39" s="9" t="n">
        <v>0.599578437075819</v>
      </c>
      <c r="H39" s="9" t="n">
        <v>0.516581927477215</v>
      </c>
      <c r="I39" s="9" t="n">
        <v>0.129178204382393</v>
      </c>
      <c r="J39" s="10" t="n">
        <v>5.26441729687803</v>
      </c>
      <c r="K39" s="10" t="n">
        <v>12.8049447353112</v>
      </c>
      <c r="L39" s="10" t="n">
        <v>1.34818693038588</v>
      </c>
      <c r="M39" s="10" t="n">
        <v>0.596878029862323</v>
      </c>
      <c r="N39" s="10" t="n">
        <v>10.2026759744037</v>
      </c>
      <c r="O39" s="10" t="n">
        <v>17.8718053131666</v>
      </c>
      <c r="P39" s="11" t="n">
        <v>20.8785425101215</v>
      </c>
      <c r="Q39" s="8" t="n">
        <v>1.69877835951134</v>
      </c>
      <c r="R39" s="8" t="n">
        <v>8.74694589877836</v>
      </c>
      <c r="S39" s="9" t="n">
        <v>-1.319</v>
      </c>
      <c r="T39" s="9" t="n">
        <v>-0.736</v>
      </c>
    </row>
    <row r="40" customFormat="false" ht="15" hidden="false" customHeight="true" outlineLevel="0" collapsed="false">
      <c r="A40" s="7" t="n">
        <v>203897</v>
      </c>
      <c r="B40" s="7" t="s">
        <v>81</v>
      </c>
      <c r="C40" s="8" t="n">
        <v>282</v>
      </c>
      <c r="D40" s="8" t="n">
        <v>9794</v>
      </c>
      <c r="E40" s="8" t="n">
        <v>40670</v>
      </c>
      <c r="F40" s="9" t="n">
        <v>0.142</v>
      </c>
      <c r="G40" s="9" t="n">
        <v>0.613318970798448</v>
      </c>
      <c r="H40" s="9" t="n">
        <v>0.420433326526445</v>
      </c>
      <c r="I40" s="9" t="n">
        <v>0.280950173575659</v>
      </c>
      <c r="J40" s="10" t="n">
        <v>6.84380232795589</v>
      </c>
      <c r="K40" s="10" t="n">
        <v>17.9864202573004</v>
      </c>
      <c r="L40" s="10" t="n">
        <v>1.08962630181744</v>
      </c>
      <c r="M40" s="10" t="n">
        <v>0.669879518072289</v>
      </c>
      <c r="N40" s="10" t="n">
        <v>11.6601592811926</v>
      </c>
      <c r="O40" s="10" t="n">
        <v>26.646293649173</v>
      </c>
      <c r="P40" s="11" t="n">
        <v>34.7304964539007</v>
      </c>
      <c r="Q40" s="8" t="n">
        <v>1.15754543598121</v>
      </c>
      <c r="R40" s="8" t="n">
        <v>12.4977741474372</v>
      </c>
      <c r="S40" s="9" t="n">
        <v>0.86</v>
      </c>
      <c r="T40" s="9" t="n">
        <v>-0.718</v>
      </c>
    </row>
    <row r="41" customFormat="false" ht="15" hidden="false" customHeight="true" outlineLevel="0" collapsed="false">
      <c r="A41" s="7" t="n">
        <v>203903</v>
      </c>
      <c r="B41" s="7" t="s">
        <v>82</v>
      </c>
      <c r="C41" s="8" t="n">
        <v>304</v>
      </c>
      <c r="D41" s="8" t="n">
        <v>8052</v>
      </c>
      <c r="E41" s="8" t="n">
        <v>34235</v>
      </c>
      <c r="F41" s="9" t="n">
        <v>0.324</v>
      </c>
      <c r="G41" s="9" t="n">
        <v>0.539618728266269</v>
      </c>
      <c r="H41" s="9" t="n">
        <v>0.45248000496771</v>
      </c>
      <c r="I41" s="9" t="n">
        <v>0.214708519622454</v>
      </c>
      <c r="J41" s="10" t="n">
        <v>6.48864878291108</v>
      </c>
      <c r="K41" s="10" t="n">
        <v>18.5899155489319</v>
      </c>
      <c r="L41" s="10" t="n">
        <v>1.17507451564829</v>
      </c>
      <c r="M41" s="10" t="n">
        <v>0.615648286140089</v>
      </c>
      <c r="N41" s="10" t="n">
        <v>12.1552906110283</v>
      </c>
      <c r="O41" s="10" t="n">
        <v>26.114741679086</v>
      </c>
      <c r="P41" s="11" t="n">
        <v>26.4868421052632</v>
      </c>
      <c r="Q41" s="8" t="n">
        <v>3.77894932935917</v>
      </c>
      <c r="R41" s="8" t="n">
        <v>9.03622702434178</v>
      </c>
      <c r="S41" s="9" t="n">
        <v>1.168</v>
      </c>
      <c r="T41" s="9" t="n">
        <v>-0.845</v>
      </c>
    </row>
    <row r="42" customFormat="false" ht="15" hidden="false" customHeight="true" outlineLevel="0" collapsed="false">
      <c r="A42" s="7" t="n">
        <v>203914</v>
      </c>
      <c r="B42" s="7" t="s">
        <v>83</v>
      </c>
      <c r="C42" s="8" t="n">
        <v>259</v>
      </c>
      <c r="D42" s="8" t="n">
        <v>5583</v>
      </c>
      <c r="E42" s="8" t="n">
        <v>23609</v>
      </c>
      <c r="F42" s="9" t="n">
        <v>-1.702</v>
      </c>
      <c r="G42" s="9" t="n">
        <v>0.581727744939996</v>
      </c>
      <c r="H42" s="9" t="n">
        <v>0.654145262403726</v>
      </c>
      <c r="I42" s="9" t="n">
        <v>0.131154039047107</v>
      </c>
      <c r="J42" s="10" t="n">
        <v>4.3736163353036</v>
      </c>
      <c r="K42" s="10" t="n">
        <v>8.43184667741358</v>
      </c>
      <c r="L42" s="10" t="n">
        <v>1.78493641411428</v>
      </c>
      <c r="M42" s="10" t="n">
        <v>0.968833960236432</v>
      </c>
      <c r="N42" s="10" t="n">
        <v>9.80999462654487</v>
      </c>
      <c r="O42" s="10" t="n">
        <v>12.6882142217446</v>
      </c>
      <c r="P42" s="11" t="n">
        <v>21.5559845559846</v>
      </c>
      <c r="Q42" s="8" t="n">
        <v>2.34323840229267</v>
      </c>
      <c r="R42" s="8" t="n">
        <v>6.48368260791689</v>
      </c>
      <c r="S42" s="9" t="n">
        <v>-0.993</v>
      </c>
      <c r="T42" s="9" t="n">
        <v>-0.709</v>
      </c>
    </row>
    <row r="43" customFormat="false" ht="15" hidden="false" customHeight="true" outlineLevel="0" collapsed="false">
      <c r="A43" s="7" t="n">
        <v>203924</v>
      </c>
      <c r="B43" s="7" t="s">
        <v>84</v>
      </c>
      <c r="C43" s="8" t="n">
        <v>268</v>
      </c>
      <c r="D43" s="8" t="n">
        <v>8795</v>
      </c>
      <c r="E43" s="8" t="n">
        <v>36454</v>
      </c>
      <c r="F43" s="9" t="n">
        <v>-2.471</v>
      </c>
      <c r="G43" s="9" t="n">
        <v>0.576609209778283</v>
      </c>
      <c r="H43" s="9" t="n">
        <v>0.411622171688459</v>
      </c>
      <c r="I43" s="9" t="n">
        <v>0.370470835702104</v>
      </c>
      <c r="J43" s="10" t="n">
        <v>6.4414894826606</v>
      </c>
      <c r="K43" s="10" t="n">
        <v>11.3997498578738</v>
      </c>
      <c r="L43" s="10" t="n">
        <v>1.22590108015918</v>
      </c>
      <c r="M43" s="10" t="n">
        <v>2.2186355884025</v>
      </c>
      <c r="N43" s="10" t="n">
        <v>10.1971802160318</v>
      </c>
      <c r="O43" s="10" t="n">
        <v>23.5015804434338</v>
      </c>
      <c r="P43" s="11" t="n">
        <v>32.8171641791045</v>
      </c>
      <c r="Q43" s="8" t="n">
        <v>2.43694144400227</v>
      </c>
      <c r="R43" s="8" t="n">
        <v>10.7596247868107</v>
      </c>
      <c r="S43" s="9" t="n">
        <v>-1.392</v>
      </c>
      <c r="T43" s="9" t="n">
        <v>-1.079</v>
      </c>
    </row>
    <row r="44" customFormat="false" ht="15" hidden="false" customHeight="true" outlineLevel="0" collapsed="false">
      <c r="A44" s="7" t="n">
        <v>203926</v>
      </c>
      <c r="B44" s="7" t="s">
        <v>85</v>
      </c>
      <c r="C44" s="8" t="n">
        <v>250</v>
      </c>
      <c r="D44" s="8" t="n">
        <v>4222</v>
      </c>
      <c r="E44" s="8" t="n">
        <v>17967</v>
      </c>
      <c r="F44" s="9" t="n">
        <v>-4.643</v>
      </c>
      <c r="G44" s="9" t="n">
        <v>0.593533633349124</v>
      </c>
      <c r="H44" s="9" t="n">
        <v>0.671515395547134</v>
      </c>
      <c r="I44" s="9" t="n">
        <v>0.0981560871624822</v>
      </c>
      <c r="J44" s="10" t="n">
        <v>4.77565135007106</v>
      </c>
      <c r="K44" s="10" t="n">
        <v>8.30390810042634</v>
      </c>
      <c r="L44" s="10" t="n">
        <v>0.593131217432496</v>
      </c>
      <c r="M44" s="10" t="n">
        <v>0.414969208905732</v>
      </c>
      <c r="N44" s="10" t="n">
        <v>8.41766935101847</v>
      </c>
      <c r="O44" s="10" t="n">
        <v>17.3087636191379</v>
      </c>
      <c r="P44" s="11" t="n">
        <v>16.888</v>
      </c>
      <c r="Q44" s="8" t="n">
        <v>1.50942681193747</v>
      </c>
      <c r="R44" s="8" t="n">
        <v>8.15388441496921</v>
      </c>
      <c r="S44" s="9" t="n">
        <v>-0.768</v>
      </c>
      <c r="T44" s="9" t="n">
        <v>-3.875</v>
      </c>
    </row>
    <row r="45" customFormat="false" ht="15" hidden="false" customHeight="true" outlineLevel="0" collapsed="false">
      <c r="A45" s="7" t="n">
        <v>203932</v>
      </c>
      <c r="B45" s="7" t="s">
        <v>86</v>
      </c>
      <c r="C45" s="8" t="n">
        <v>303</v>
      </c>
      <c r="D45" s="8" t="n">
        <v>9180</v>
      </c>
      <c r="E45" s="8" t="n">
        <v>44791</v>
      </c>
      <c r="F45" s="9" t="n">
        <v>3.63</v>
      </c>
      <c r="G45" s="9" t="n">
        <v>0.616145533769063</v>
      </c>
      <c r="H45" s="9" t="n">
        <v>0.277532679738562</v>
      </c>
      <c r="I45" s="9" t="n">
        <v>0.359600544662309</v>
      </c>
      <c r="J45" s="10" t="n">
        <v>11.0681808278867</v>
      </c>
      <c r="K45" s="10" t="n">
        <v>13.8486383442266</v>
      </c>
      <c r="L45" s="10" t="n">
        <v>1.05979302832244</v>
      </c>
      <c r="M45" s="10" t="n">
        <v>1.59824618736384</v>
      </c>
      <c r="N45" s="10" t="n">
        <v>10.8337690631808</v>
      </c>
      <c r="O45" s="10" t="n">
        <v>19.6684967320262</v>
      </c>
      <c r="P45" s="11" t="n">
        <v>30.2970297029703</v>
      </c>
      <c r="Q45" s="8" t="n">
        <v>7.50061002178649</v>
      </c>
      <c r="R45" s="8" t="n">
        <v>14.3730718954248</v>
      </c>
      <c r="S45" s="9" t="n">
        <v>1.234</v>
      </c>
      <c r="T45" s="9" t="n">
        <v>2.396</v>
      </c>
    </row>
    <row r="46" customFormat="false" ht="15" hidden="false" customHeight="true" outlineLevel="0" collapsed="false">
      <c r="A46" s="7" t="n">
        <v>203935</v>
      </c>
      <c r="B46" s="7" t="s">
        <v>87</v>
      </c>
      <c r="C46" s="8" t="n">
        <v>248</v>
      </c>
      <c r="D46" s="8" t="n">
        <v>7307</v>
      </c>
      <c r="E46" s="8" t="n">
        <v>37087</v>
      </c>
      <c r="F46" s="9" t="n">
        <v>2.816</v>
      </c>
      <c r="G46" s="9" t="n">
        <v>0.540160530997674</v>
      </c>
      <c r="H46" s="9" t="n">
        <v>0.556551389078965</v>
      </c>
      <c r="I46" s="9" t="n">
        <v>0.241567674832353</v>
      </c>
      <c r="J46" s="10" t="n">
        <v>5.72899958943479</v>
      </c>
      <c r="K46" s="10" t="n">
        <v>22.3060489941152</v>
      </c>
      <c r="L46" s="10" t="n">
        <v>2.53849733132613</v>
      </c>
      <c r="M46" s="10" t="n">
        <v>0.956206377446285</v>
      </c>
      <c r="N46" s="10" t="n">
        <v>16.6290132749418</v>
      </c>
      <c r="O46" s="10" t="n">
        <v>18.0589161078418</v>
      </c>
      <c r="P46" s="11" t="n">
        <v>29.4637096774194</v>
      </c>
      <c r="Q46" s="8" t="n">
        <v>2.27339537429862</v>
      </c>
      <c r="R46" s="8" t="n">
        <v>9.05745175858766</v>
      </c>
      <c r="S46" s="9" t="n">
        <v>0.439</v>
      </c>
      <c r="T46" s="9" t="n">
        <v>2.377</v>
      </c>
    </row>
    <row r="47" customFormat="false" ht="15" hidden="false" customHeight="true" outlineLevel="0" collapsed="false">
      <c r="A47" s="7" t="n">
        <v>203937</v>
      </c>
      <c r="B47" s="7" t="s">
        <v>88</v>
      </c>
      <c r="C47" s="8" t="n">
        <v>321</v>
      </c>
      <c r="D47" s="8" t="n">
        <v>7078</v>
      </c>
      <c r="E47" s="8" t="n">
        <v>31623</v>
      </c>
      <c r="F47" s="9" t="n">
        <v>-1.536</v>
      </c>
      <c r="G47" s="9" t="n">
        <v>0.541656682678723</v>
      </c>
      <c r="H47" s="9" t="n">
        <v>0.174413393614015</v>
      </c>
      <c r="I47" s="9" t="n">
        <v>0.273607516247528</v>
      </c>
      <c r="J47" s="10" t="n">
        <v>10.5616134501272</v>
      </c>
      <c r="K47" s="10" t="n">
        <v>21.2077705566544</v>
      </c>
      <c r="L47" s="10" t="n">
        <v>2.13743995478949</v>
      </c>
      <c r="M47" s="10" t="n">
        <v>2.69562023170387</v>
      </c>
      <c r="N47" s="10" t="n">
        <v>13.9564424978808</v>
      </c>
      <c r="O47" s="10" t="n">
        <v>14.8703023452953</v>
      </c>
      <c r="P47" s="11" t="n">
        <v>22.0498442367601</v>
      </c>
      <c r="Q47" s="8" t="n">
        <v>4.52181407177169</v>
      </c>
      <c r="R47" s="8" t="n">
        <v>16.5157812941509</v>
      </c>
      <c r="S47" s="9" t="n">
        <v>-2.346</v>
      </c>
      <c r="T47" s="9" t="n">
        <v>0.811</v>
      </c>
    </row>
    <row r="48" customFormat="false" ht="15" hidden="false" customHeight="true" outlineLevel="0" collapsed="false">
      <c r="A48" s="7" t="n">
        <v>203939</v>
      </c>
      <c r="B48" s="7" t="s">
        <v>89</v>
      </c>
      <c r="C48" s="8" t="n">
        <v>339</v>
      </c>
      <c r="D48" s="8" t="n">
        <v>5547</v>
      </c>
      <c r="E48" s="8" t="n">
        <v>23377</v>
      </c>
      <c r="F48" s="9" t="n">
        <v>0.309</v>
      </c>
      <c r="G48" s="9" t="n">
        <v>0.721631332251668</v>
      </c>
      <c r="H48" s="9" t="n">
        <v>0.0584250946457544</v>
      </c>
      <c r="I48" s="9" t="n">
        <v>0.713110329908058</v>
      </c>
      <c r="J48" s="10" t="n">
        <v>13.0703263025059</v>
      </c>
      <c r="K48" s="10" t="n">
        <v>9.09787272399495</v>
      </c>
      <c r="L48" s="10" t="n">
        <v>1.42303948080043</v>
      </c>
      <c r="M48" s="10" t="n">
        <v>2.03906616188931</v>
      </c>
      <c r="N48" s="10" t="n">
        <v>15.9500270416441</v>
      </c>
      <c r="O48" s="10" t="n">
        <v>11.4266450333514</v>
      </c>
      <c r="P48" s="11" t="n">
        <v>16.3628318584071</v>
      </c>
      <c r="Q48" s="8" t="n">
        <v>11.2691364701641</v>
      </c>
      <c r="R48" s="8" t="n">
        <v>14.830268613665</v>
      </c>
      <c r="S48" s="9" t="n">
        <v>-0.506</v>
      </c>
      <c r="T48" s="9" t="n">
        <v>0.815</v>
      </c>
    </row>
    <row r="49" customFormat="false" ht="15" hidden="false" customHeight="true" outlineLevel="0" collapsed="false">
      <c r="A49" s="7" t="n">
        <v>203944</v>
      </c>
      <c r="B49" s="7" t="s">
        <v>90</v>
      </c>
      <c r="C49" s="8" t="n">
        <v>343</v>
      </c>
      <c r="D49" s="8" t="n">
        <v>11747</v>
      </c>
      <c r="E49" s="8" t="n">
        <v>52280</v>
      </c>
      <c r="F49" s="9" t="n">
        <v>1.598</v>
      </c>
      <c r="G49" s="9" t="n">
        <v>0.56690482676428</v>
      </c>
      <c r="H49" s="9" t="n">
        <v>0.338811100706563</v>
      </c>
      <c r="I49" s="9" t="n">
        <v>0.365235123861411</v>
      </c>
      <c r="J49" s="10" t="n">
        <v>13.6655145994722</v>
      </c>
      <c r="K49" s="10" t="n">
        <v>22.3060270707415</v>
      </c>
      <c r="L49" s="10" t="n">
        <v>1.08225930024687</v>
      </c>
      <c r="M49" s="10" t="n">
        <v>0.85103430663148</v>
      </c>
      <c r="N49" s="10" t="n">
        <v>13.6515791265855</v>
      </c>
      <c r="O49" s="10" t="n">
        <v>27.8629692687495</v>
      </c>
      <c r="P49" s="11" t="n">
        <v>34.2478134110787</v>
      </c>
      <c r="Q49" s="8" t="n">
        <v>6.02424448795437</v>
      </c>
      <c r="R49" s="8" t="n">
        <v>21.3516812803269</v>
      </c>
      <c r="S49" s="9" t="n">
        <v>2.22</v>
      </c>
      <c r="T49" s="9" t="n">
        <v>-0.622</v>
      </c>
    </row>
    <row r="50" customFormat="false" ht="15" hidden="false" customHeight="true" outlineLevel="0" collapsed="false">
      <c r="A50" s="7" t="n">
        <v>203952</v>
      </c>
      <c r="B50" s="7" t="s">
        <v>91</v>
      </c>
      <c r="C50" s="8" t="n">
        <v>309</v>
      </c>
      <c r="D50" s="8" t="n">
        <v>9345</v>
      </c>
      <c r="E50" s="8" t="n">
        <v>44264</v>
      </c>
      <c r="F50" s="9" t="n">
        <v>-0.138</v>
      </c>
      <c r="G50" s="9" t="n">
        <v>0.564144462279294</v>
      </c>
      <c r="H50" s="9" t="n">
        <v>0.390266238630284</v>
      </c>
      <c r="I50" s="9" t="n">
        <v>0.228440128410915</v>
      </c>
      <c r="J50" s="10" t="n">
        <v>8.22864633493847</v>
      </c>
      <c r="K50" s="10" t="n">
        <v>11.1731300160514</v>
      </c>
      <c r="L50" s="10" t="n">
        <v>1.54481540930979</v>
      </c>
      <c r="M50" s="10" t="n">
        <v>2.35614767255217</v>
      </c>
      <c r="N50" s="10" t="n">
        <v>9.26684858212948</v>
      </c>
      <c r="O50" s="10" t="n">
        <v>21.96962011771</v>
      </c>
      <c r="P50" s="11" t="n">
        <v>30.2427184466019</v>
      </c>
      <c r="Q50" s="8" t="n">
        <v>5.28553237025147</v>
      </c>
      <c r="R50" s="8" t="n">
        <v>11.0940609951846</v>
      </c>
      <c r="S50" s="9" t="n">
        <v>-0.817</v>
      </c>
      <c r="T50" s="9" t="n">
        <v>0.679</v>
      </c>
    </row>
    <row r="51" customFormat="false" ht="15" hidden="false" customHeight="true" outlineLevel="0" collapsed="false">
      <c r="A51" s="7" t="n">
        <v>203954</v>
      </c>
      <c r="B51" s="7" t="s">
        <v>92</v>
      </c>
      <c r="C51" s="8" t="n">
        <v>230</v>
      </c>
      <c r="D51" s="8" t="n">
        <v>7665</v>
      </c>
      <c r="E51" s="8" t="n">
        <v>35368</v>
      </c>
      <c r="F51" s="9" t="n">
        <v>5.313</v>
      </c>
      <c r="G51" s="9" t="n">
        <v>0.627983431180692</v>
      </c>
      <c r="H51" s="9" t="n">
        <v>0.18316647097195</v>
      </c>
      <c r="I51" s="9" t="n">
        <v>0.559790737116764</v>
      </c>
      <c r="J51" s="10" t="n">
        <v>17.2894194390085</v>
      </c>
      <c r="K51" s="10" t="n">
        <v>24.7163470319635</v>
      </c>
      <c r="L51" s="10" t="n">
        <v>1.43214611872146</v>
      </c>
      <c r="M51" s="10" t="n">
        <v>4.1212133072407</v>
      </c>
      <c r="N51" s="10" t="n">
        <v>11.8791128506197</v>
      </c>
      <c r="O51" s="10" t="n">
        <v>36.7458708414873</v>
      </c>
      <c r="P51" s="11" t="n">
        <v>33.3260869565217</v>
      </c>
      <c r="Q51" s="8" t="n">
        <v>6.8238747553816</v>
      </c>
      <c r="R51" s="8" t="n">
        <v>27.6394129158513</v>
      </c>
      <c r="S51" s="9" t="n">
        <v>2.729</v>
      </c>
      <c r="T51" s="9" t="n">
        <v>2.584</v>
      </c>
    </row>
    <row r="52" customFormat="false" ht="15" hidden="false" customHeight="true" outlineLevel="0" collapsed="false">
      <c r="A52" s="7" t="n">
        <v>203991</v>
      </c>
      <c r="B52" s="7" t="s">
        <v>93</v>
      </c>
      <c r="C52" s="8" t="n">
        <v>342</v>
      </c>
      <c r="D52" s="8" t="n">
        <v>7757</v>
      </c>
      <c r="E52" s="8" t="n">
        <v>33083</v>
      </c>
      <c r="F52" s="9" t="n">
        <v>2.778</v>
      </c>
      <c r="G52" s="9" t="n">
        <v>0.598494521077736</v>
      </c>
      <c r="H52" s="9" t="n">
        <v>0.0029872373340208</v>
      </c>
      <c r="I52" s="9" t="n">
        <v>0.287777104550728</v>
      </c>
      <c r="J52" s="10" t="n">
        <v>22.450638133299</v>
      </c>
      <c r="K52" s="10" t="n">
        <v>6.43005027716901</v>
      </c>
      <c r="L52" s="10" t="n">
        <v>1.3159339951012</v>
      </c>
      <c r="M52" s="10" t="n">
        <v>4.56077091659147</v>
      </c>
      <c r="N52" s="10" t="n">
        <v>8.87225731597267</v>
      </c>
      <c r="O52" s="10" t="n">
        <v>15.948601263375</v>
      </c>
      <c r="P52" s="11" t="n">
        <v>22.6812865497076</v>
      </c>
      <c r="Q52" s="8" t="n">
        <v>16.7900348072709</v>
      </c>
      <c r="R52" s="8" t="n">
        <v>28.2649606806755</v>
      </c>
      <c r="S52" s="9" t="n">
        <v>0.363</v>
      </c>
      <c r="T52" s="9" t="n">
        <v>2.415</v>
      </c>
    </row>
    <row r="53" customFormat="false" ht="15" hidden="false" customHeight="true" outlineLevel="0" collapsed="false">
      <c r="A53" s="7" t="n">
        <v>203992</v>
      </c>
      <c r="B53" s="7" t="s">
        <v>94</v>
      </c>
      <c r="C53" s="8" t="n">
        <v>273</v>
      </c>
      <c r="D53" s="8" t="n">
        <v>7557</v>
      </c>
      <c r="E53" s="8" t="n">
        <v>32418</v>
      </c>
      <c r="F53" s="9" t="n">
        <v>2.237</v>
      </c>
      <c r="G53" s="9" t="n">
        <v>0.566265052269419</v>
      </c>
      <c r="H53" s="9" t="n">
        <v>0.586200211724229</v>
      </c>
      <c r="I53" s="9" t="n">
        <v>0.141653698557629</v>
      </c>
      <c r="J53" s="10" t="n">
        <v>6.60862776233955</v>
      </c>
      <c r="K53" s="10" t="n">
        <v>14.860725155485</v>
      </c>
      <c r="L53" s="10" t="n">
        <v>1.6565700674871</v>
      </c>
      <c r="M53" s="10" t="n">
        <v>0.867037184067752</v>
      </c>
      <c r="N53" s="10" t="n">
        <v>9.54419743284372</v>
      </c>
      <c r="O53" s="10" t="n">
        <v>20.7664814079661</v>
      </c>
      <c r="P53" s="11" t="n">
        <v>27.6813186813187</v>
      </c>
      <c r="Q53" s="8" t="n">
        <v>1.91820828371047</v>
      </c>
      <c r="R53" s="8" t="n">
        <v>11.3201931983591</v>
      </c>
      <c r="S53" s="9" t="n">
        <v>2.355</v>
      </c>
      <c r="T53" s="9" t="n">
        <v>-0.117</v>
      </c>
    </row>
    <row r="54" customFormat="false" ht="15" hidden="false" customHeight="true" outlineLevel="0" collapsed="false">
      <c r="A54" s="7" t="n">
        <v>203994</v>
      </c>
      <c r="B54" s="7" t="s">
        <v>95</v>
      </c>
      <c r="C54" s="8" t="n">
        <v>276</v>
      </c>
      <c r="D54" s="8" t="n">
        <v>7194</v>
      </c>
      <c r="E54" s="8" t="n">
        <v>30185</v>
      </c>
      <c r="F54" s="9" t="n">
        <v>1.497</v>
      </c>
      <c r="G54" s="9" t="n">
        <v>0.568479844314707</v>
      </c>
      <c r="H54" s="9" t="n">
        <v>0.181479427300528</v>
      </c>
      <c r="I54" s="9" t="n">
        <v>0.393105504587156</v>
      </c>
      <c r="J54" s="10" t="n">
        <v>21.295871559633</v>
      </c>
      <c r="K54" s="10" t="n">
        <v>18.86886294134</v>
      </c>
      <c r="L54" s="10" t="n">
        <v>1.882874617737</v>
      </c>
      <c r="M54" s="10" t="n">
        <v>2.74356408117876</v>
      </c>
      <c r="N54" s="10" t="n">
        <v>18.2417709202113</v>
      </c>
      <c r="O54" s="10" t="n">
        <v>20.919516263553</v>
      </c>
      <c r="P54" s="11" t="n">
        <v>26.0652173913044</v>
      </c>
      <c r="Q54" s="8" t="n">
        <v>10.804670558799</v>
      </c>
      <c r="R54" s="8" t="n">
        <v>31.6906449819294</v>
      </c>
      <c r="S54" s="9" t="n">
        <v>-1.458</v>
      </c>
      <c r="T54" s="9" t="n">
        <v>2.955</v>
      </c>
    </row>
    <row r="55" customFormat="false" ht="15" hidden="false" customHeight="true" outlineLevel="0" collapsed="false">
      <c r="A55" s="7" t="n">
        <v>203999</v>
      </c>
      <c r="B55" s="7" t="s">
        <v>96</v>
      </c>
      <c r="C55" s="8" t="n">
        <v>357</v>
      </c>
      <c r="D55" s="8" t="n">
        <v>12372</v>
      </c>
      <c r="E55" s="8" t="n">
        <v>59405</v>
      </c>
      <c r="F55" s="9" t="n">
        <v>10.312</v>
      </c>
      <c r="G55" s="9" t="n">
        <v>0.668140316844488</v>
      </c>
      <c r="H55" s="9" t="n">
        <v>0.206002586485613</v>
      </c>
      <c r="I55" s="9" t="n">
        <v>0.362665777562237</v>
      </c>
      <c r="J55" s="10" t="n">
        <v>20.5348205625606</v>
      </c>
      <c r="K55" s="10" t="n">
        <v>44.9397025541545</v>
      </c>
      <c r="L55" s="10" t="n">
        <v>2.08559650824442</v>
      </c>
      <c r="M55" s="10" t="n">
        <v>1.99810054962819</v>
      </c>
      <c r="N55" s="10" t="n">
        <v>14.628774652441</v>
      </c>
      <c r="O55" s="10" t="n">
        <v>29.668978338183</v>
      </c>
      <c r="P55" s="11" t="n">
        <v>34.655462184874</v>
      </c>
      <c r="Q55" s="8" t="n">
        <v>9.27563853863563</v>
      </c>
      <c r="R55" s="8" t="n">
        <v>30.9554881991594</v>
      </c>
      <c r="S55" s="9" t="n">
        <v>8.897</v>
      </c>
      <c r="T55" s="9" t="n">
        <v>1.415</v>
      </c>
    </row>
    <row r="56" customFormat="false" ht="15" hidden="false" customHeight="true" outlineLevel="0" collapsed="false">
      <c r="A56" s="7" t="n">
        <v>204001</v>
      </c>
      <c r="B56" s="7" t="s">
        <v>97</v>
      </c>
      <c r="C56" s="8" t="n">
        <v>247</v>
      </c>
      <c r="D56" s="8" t="n">
        <v>7270</v>
      </c>
      <c r="E56" s="8" t="n">
        <v>31133</v>
      </c>
      <c r="F56" s="9" t="n">
        <v>1.083</v>
      </c>
      <c r="G56" s="9" t="n">
        <v>0.615205639614856</v>
      </c>
      <c r="H56" s="9" t="n">
        <v>0.375892297111417</v>
      </c>
      <c r="I56" s="9" t="n">
        <v>0.389508390646492</v>
      </c>
      <c r="J56" s="10" t="n">
        <v>13.7416093535076</v>
      </c>
      <c r="K56" s="10" t="n">
        <v>12.4776616231087</v>
      </c>
      <c r="L56" s="10" t="n">
        <v>1.25559834938102</v>
      </c>
      <c r="M56" s="10" t="n">
        <v>4.80818431911967</v>
      </c>
      <c r="N56" s="10" t="n">
        <v>8.87965612104539</v>
      </c>
      <c r="O56" s="10" t="n">
        <v>27.0329023383769</v>
      </c>
      <c r="P56" s="11" t="n">
        <v>29.4331983805668</v>
      </c>
      <c r="Q56" s="8" t="n">
        <v>6.49519944979367</v>
      </c>
      <c r="R56" s="8" t="n">
        <v>20.6720220082531</v>
      </c>
      <c r="S56" s="9" t="n">
        <v>0.425</v>
      </c>
      <c r="T56" s="9" t="n">
        <v>0.658</v>
      </c>
    </row>
    <row r="57" customFormat="false" ht="15" hidden="false" customHeight="true" outlineLevel="0" collapsed="false">
      <c r="A57" s="7" t="n">
        <v>204060</v>
      </c>
      <c r="B57" s="7" t="s">
        <v>98</v>
      </c>
      <c r="C57" s="8" t="n">
        <v>205</v>
      </c>
      <c r="D57" s="8" t="n">
        <v>3602</v>
      </c>
      <c r="E57" s="8" t="n">
        <v>15353</v>
      </c>
      <c r="F57" s="9" t="n">
        <v>0.989</v>
      </c>
      <c r="G57" s="9" t="n">
        <v>0.590331204886174</v>
      </c>
      <c r="H57" s="9" t="n">
        <v>0.759070516379789</v>
      </c>
      <c r="I57" s="9" t="n">
        <v>0.100445863409217</v>
      </c>
      <c r="J57" s="10" t="n">
        <v>6.61252082176569</v>
      </c>
      <c r="K57" s="10" t="n">
        <v>20.7303442531927</v>
      </c>
      <c r="L57" s="10" t="n">
        <v>1.47784564131038</v>
      </c>
      <c r="M57" s="10" t="n">
        <v>0.446057745696835</v>
      </c>
      <c r="N57" s="10" t="n">
        <v>18.6569405885619</v>
      </c>
      <c r="O57" s="10" t="n">
        <v>12.4029705719045</v>
      </c>
      <c r="P57" s="11" t="n">
        <v>17.5707317073171</v>
      </c>
      <c r="Q57" s="8" t="n">
        <v>1.4270405330372</v>
      </c>
      <c r="R57" s="8" t="n">
        <v>11.6365352581899</v>
      </c>
      <c r="S57" s="9" t="n">
        <v>1.53</v>
      </c>
      <c r="T57" s="9" t="n">
        <v>-0.541</v>
      </c>
    </row>
    <row r="58" customFormat="false" ht="15" hidden="false" customHeight="true" outlineLevel="0" collapsed="false">
      <c r="A58" s="7" t="n">
        <v>204456</v>
      </c>
      <c r="B58" s="7" t="s">
        <v>99</v>
      </c>
      <c r="C58" s="8" t="n">
        <v>308</v>
      </c>
      <c r="D58" s="8" t="n">
        <v>5847</v>
      </c>
      <c r="E58" s="8" t="n">
        <v>27505</v>
      </c>
      <c r="F58" s="9" t="n">
        <v>0.276</v>
      </c>
      <c r="G58" s="9" t="n">
        <v>0.567674362921156</v>
      </c>
      <c r="H58" s="9" t="n">
        <v>0.100960834616042</v>
      </c>
      <c r="I58" s="9" t="n">
        <v>0.110058149478365</v>
      </c>
      <c r="J58" s="10" t="n">
        <v>7.92385838891739</v>
      </c>
      <c r="K58" s="10" t="n">
        <v>39.5102787754404</v>
      </c>
      <c r="L58" s="10" t="n">
        <v>2.61063793398324</v>
      </c>
      <c r="M58" s="10" t="n">
        <v>0.874790490850009</v>
      </c>
      <c r="N58" s="10" t="n">
        <v>15.3781597400376</v>
      </c>
      <c r="O58" s="10" t="n">
        <v>21.5081751325466</v>
      </c>
      <c r="P58" s="11" t="n">
        <v>18.9837662337662</v>
      </c>
      <c r="Q58" s="8" t="n">
        <v>3.18924234650248</v>
      </c>
      <c r="R58" s="8" t="n">
        <v>12.6895159911066</v>
      </c>
      <c r="S58" s="9" t="n">
        <v>0.771</v>
      </c>
      <c r="T58" s="9" t="n">
        <v>-0.495</v>
      </c>
    </row>
    <row r="59" customFormat="false" ht="15" hidden="false" customHeight="true" outlineLevel="0" collapsed="false">
      <c r="A59" s="7" t="n">
        <v>1626145</v>
      </c>
      <c r="B59" s="7" t="s">
        <v>100</v>
      </c>
      <c r="C59" s="8" t="n">
        <v>367</v>
      </c>
      <c r="D59" s="8" t="n">
        <v>8575</v>
      </c>
      <c r="E59" s="8" t="n">
        <v>37290</v>
      </c>
      <c r="F59" s="9" t="n">
        <v>-2.585</v>
      </c>
      <c r="G59" s="9" t="n">
        <v>0.551551253644315</v>
      </c>
      <c r="H59" s="9" t="n">
        <v>0.477942973760933</v>
      </c>
      <c r="I59" s="9" t="n">
        <v>0.0928257725947521</v>
      </c>
      <c r="J59" s="10" t="n">
        <v>5.19577842565598</v>
      </c>
      <c r="K59" s="10" t="n">
        <v>28.818250728863</v>
      </c>
      <c r="L59" s="10" t="n">
        <v>1.80812827988338</v>
      </c>
      <c r="M59" s="10" t="n">
        <v>0.376583090379009</v>
      </c>
      <c r="N59" s="10" t="n">
        <v>9.35925364431487</v>
      </c>
      <c r="O59" s="10" t="n">
        <v>16.0062274052478</v>
      </c>
      <c r="P59" s="11" t="n">
        <v>23.3651226158038</v>
      </c>
      <c r="Q59" s="8" t="n">
        <v>1.47827405247813</v>
      </c>
      <c r="R59" s="8" t="n">
        <v>8.94204081632653</v>
      </c>
      <c r="S59" s="9" t="n">
        <v>-0.843</v>
      </c>
      <c r="T59" s="9" t="n">
        <v>-1.742</v>
      </c>
    </row>
    <row r="60" customFormat="false" ht="15" hidden="false" customHeight="true" outlineLevel="0" collapsed="false">
      <c r="A60" s="7" t="n">
        <v>1626156</v>
      </c>
      <c r="B60" s="7" t="s">
        <v>101</v>
      </c>
      <c r="C60" s="8" t="n">
        <v>296</v>
      </c>
      <c r="D60" s="8" t="n">
        <v>8840</v>
      </c>
      <c r="E60" s="8" t="n">
        <v>40301</v>
      </c>
      <c r="F60" s="9" t="n">
        <v>1.109</v>
      </c>
      <c r="G60" s="9" t="n">
        <v>0.566731334841629</v>
      </c>
      <c r="H60" s="9" t="n">
        <v>0.522882352941177</v>
      </c>
      <c r="I60" s="9" t="n">
        <v>0.219747850678733</v>
      </c>
      <c r="J60" s="10" t="n">
        <v>5.5622963800905</v>
      </c>
      <c r="K60" s="10" t="n">
        <v>29.6444230769231</v>
      </c>
      <c r="L60" s="10" t="n">
        <v>1.43881221719457</v>
      </c>
      <c r="M60" s="10" t="n">
        <v>1.15487556561086</v>
      </c>
      <c r="N60" s="10" t="n">
        <v>13.4697398190045</v>
      </c>
      <c r="O60" s="10" t="n">
        <v>23.7506221719457</v>
      </c>
      <c r="P60" s="11" t="n">
        <v>29.8648648648649</v>
      </c>
      <c r="Q60" s="8" t="n">
        <v>1.46013574660634</v>
      </c>
      <c r="R60" s="8" t="n">
        <v>9.55806561085973</v>
      </c>
      <c r="S60" s="9" t="n">
        <v>0.617</v>
      </c>
      <c r="T60" s="9" t="n">
        <v>0.492</v>
      </c>
    </row>
    <row r="61" customFormat="false" ht="15" hidden="false" customHeight="true" outlineLevel="0" collapsed="false">
      <c r="A61" s="7" t="n">
        <v>1626157</v>
      </c>
      <c r="B61" s="7" t="s">
        <v>102</v>
      </c>
      <c r="C61" s="8" t="n">
        <v>312</v>
      </c>
      <c r="D61" s="8" t="n">
        <v>10298</v>
      </c>
      <c r="E61" s="8" t="n">
        <v>50332</v>
      </c>
      <c r="F61" s="9" t="n">
        <v>2.504</v>
      </c>
      <c r="G61" s="9" t="n">
        <v>0.627825208778404</v>
      </c>
      <c r="H61" s="9" t="n">
        <v>0.310556515828316</v>
      </c>
      <c r="I61" s="9" t="n">
        <v>0.355476014760148</v>
      </c>
      <c r="J61" s="10" t="n">
        <v>17.848320062148</v>
      </c>
      <c r="K61" s="10" t="n">
        <v>16.0305496212857</v>
      </c>
      <c r="L61" s="10" t="n">
        <v>1.28413284132841</v>
      </c>
      <c r="M61" s="10" t="n">
        <v>2.13317148960963</v>
      </c>
      <c r="N61" s="10" t="n">
        <v>13.41824626141</v>
      </c>
      <c r="O61" s="10" t="n">
        <v>26.9906778015149</v>
      </c>
      <c r="P61" s="11" t="n">
        <v>33.0064102564103</v>
      </c>
      <c r="Q61" s="8" t="n">
        <v>8.50399106622645</v>
      </c>
      <c r="R61" s="8" t="n">
        <v>27.096892600505</v>
      </c>
      <c r="S61" s="9" t="n">
        <v>2.315</v>
      </c>
      <c r="T61" s="9" t="n">
        <v>0.19</v>
      </c>
    </row>
    <row r="62" customFormat="false" ht="15" hidden="false" customHeight="true" outlineLevel="0" collapsed="false">
      <c r="A62" s="7" t="n">
        <v>1626162</v>
      </c>
      <c r="B62" s="7" t="s">
        <v>103</v>
      </c>
      <c r="C62" s="8" t="n">
        <v>302</v>
      </c>
      <c r="D62" s="8" t="n">
        <v>9254</v>
      </c>
      <c r="E62" s="8" t="n">
        <v>40270</v>
      </c>
      <c r="F62" s="9" t="n">
        <v>-2.063</v>
      </c>
      <c r="G62" s="9" t="n">
        <v>0.551479900583532</v>
      </c>
      <c r="H62" s="9" t="n">
        <v>0.427611951588502</v>
      </c>
      <c r="I62" s="9" t="n">
        <v>0.246516857575103</v>
      </c>
      <c r="J62" s="10" t="n">
        <v>8.93501188675168</v>
      </c>
      <c r="K62" s="10" t="n">
        <v>6.91274043656797</v>
      </c>
      <c r="L62" s="10" t="n">
        <v>1.99103090555436</v>
      </c>
      <c r="M62" s="10" t="n">
        <v>1.51013615733737</v>
      </c>
      <c r="N62" s="10" t="n">
        <v>7.99768748649233</v>
      </c>
      <c r="O62" s="10" t="n">
        <v>21.7151502053166</v>
      </c>
      <c r="P62" s="11" t="n">
        <v>30.6423841059603</v>
      </c>
      <c r="Q62" s="8" t="n">
        <v>4.4555327425978</v>
      </c>
      <c r="R62" s="8" t="n">
        <v>13.6213205100497</v>
      </c>
      <c r="S62" s="9" t="n">
        <v>-0.491</v>
      </c>
      <c r="T62" s="9" t="n">
        <v>-1.572</v>
      </c>
    </row>
    <row r="63" customFormat="false" ht="15" hidden="false" customHeight="true" outlineLevel="0" collapsed="false">
      <c r="A63" s="7" t="n">
        <v>1626164</v>
      </c>
      <c r="B63" s="7" t="s">
        <v>104</v>
      </c>
      <c r="C63" s="8" t="n">
        <v>328</v>
      </c>
      <c r="D63" s="8" t="n">
        <v>11568</v>
      </c>
      <c r="E63" s="8" t="n">
        <v>51781</v>
      </c>
      <c r="F63" s="9" t="n">
        <v>4.606</v>
      </c>
      <c r="G63" s="9" t="n">
        <v>0.592179892807745</v>
      </c>
      <c r="H63" s="9" t="n">
        <v>0.333825553250346</v>
      </c>
      <c r="I63" s="9" t="n">
        <v>0.341688191562932</v>
      </c>
      <c r="J63" s="10" t="n">
        <v>6.8862897648686</v>
      </c>
      <c r="K63" s="10" t="n">
        <v>28.4669865145228</v>
      </c>
      <c r="L63" s="10" t="n">
        <v>1.3128112033195</v>
      </c>
      <c r="M63" s="10" t="n">
        <v>0.826227524204703</v>
      </c>
      <c r="N63" s="10" t="n">
        <v>10.9659405255878</v>
      </c>
      <c r="O63" s="10" t="n">
        <v>30.8876469571231</v>
      </c>
      <c r="P63" s="11" t="n">
        <v>35.2682926829268</v>
      </c>
      <c r="Q63" s="8" t="n">
        <v>2.61936376210235</v>
      </c>
      <c r="R63" s="8" t="n">
        <v>11.0627074688797</v>
      </c>
      <c r="S63" s="9" t="n">
        <v>5.409</v>
      </c>
      <c r="T63" s="9" t="n">
        <v>-0.802</v>
      </c>
    </row>
    <row r="64" customFormat="false" ht="15" hidden="false" customHeight="true" outlineLevel="0" collapsed="false">
      <c r="A64" s="7" t="n">
        <v>1626166</v>
      </c>
      <c r="B64" s="7" t="s">
        <v>105</v>
      </c>
      <c r="C64" s="8" t="n">
        <v>278</v>
      </c>
      <c r="D64" s="8" t="n">
        <v>5014</v>
      </c>
      <c r="E64" s="8" t="n">
        <v>22609</v>
      </c>
      <c r="F64" s="9" t="n">
        <v>0.27</v>
      </c>
      <c r="G64" s="9" t="n">
        <v>0.527482249700838</v>
      </c>
      <c r="H64" s="9" t="n">
        <v>0.48795372955724</v>
      </c>
      <c r="I64" s="9" t="n">
        <v>0.139457917830076</v>
      </c>
      <c r="J64" s="10" t="n">
        <v>5.98571998404468</v>
      </c>
      <c r="K64" s="10" t="n">
        <v>26.9838851216594</v>
      </c>
      <c r="L64" s="10" t="n">
        <v>1.74918228958915</v>
      </c>
      <c r="M64" s="10" t="n">
        <v>1.08767451136817</v>
      </c>
      <c r="N64" s="10" t="n">
        <v>11.9975269246111</v>
      </c>
      <c r="O64" s="10" t="n">
        <v>21.9793378540088</v>
      </c>
      <c r="P64" s="11" t="n">
        <v>18.0359712230216</v>
      </c>
      <c r="Q64" s="8" t="n">
        <v>1.64758675708018</v>
      </c>
      <c r="R64" s="8" t="n">
        <v>10.3113681691265</v>
      </c>
      <c r="S64" s="9" t="n">
        <v>-0.91</v>
      </c>
      <c r="T64" s="9" t="n">
        <v>1.181</v>
      </c>
    </row>
    <row r="65" customFormat="false" ht="15" hidden="false" customHeight="true" outlineLevel="0" collapsed="false">
      <c r="A65" s="7" t="n">
        <v>1626167</v>
      </c>
      <c r="B65" s="7" t="s">
        <v>106</v>
      </c>
      <c r="C65" s="8" t="n">
        <v>324</v>
      </c>
      <c r="D65" s="8" t="n">
        <v>9222</v>
      </c>
      <c r="E65" s="8" t="n">
        <v>42878</v>
      </c>
      <c r="F65" s="9" t="n">
        <v>2.225</v>
      </c>
      <c r="G65" s="9" t="n">
        <v>0.617466059423119</v>
      </c>
      <c r="H65" s="9" t="n">
        <v>0.447555627846454</v>
      </c>
      <c r="I65" s="9" t="n">
        <v>0.314808501409673</v>
      </c>
      <c r="J65" s="10" t="n">
        <v>13.043352851876</v>
      </c>
      <c r="K65" s="10" t="n">
        <v>6.87813923227066</v>
      </c>
      <c r="L65" s="10" t="n">
        <v>1.08043808284537</v>
      </c>
      <c r="M65" s="10" t="n">
        <v>6.31419431793537</v>
      </c>
      <c r="N65" s="10" t="n">
        <v>10.6303079592279</v>
      </c>
      <c r="O65" s="10" t="n">
        <v>20.6475710258079</v>
      </c>
      <c r="P65" s="11" t="n">
        <v>28.462962962963</v>
      </c>
      <c r="Q65" s="8" t="n">
        <v>5.28204294079375</v>
      </c>
      <c r="R65" s="8" t="n">
        <v>20.8032530904359</v>
      </c>
      <c r="S65" s="9" t="n">
        <v>0.926</v>
      </c>
      <c r="T65" s="9" t="n">
        <v>1.299</v>
      </c>
    </row>
    <row r="66" customFormat="false" ht="15" hidden="false" customHeight="true" outlineLevel="0" collapsed="false">
      <c r="A66" s="7" t="n">
        <v>1626171</v>
      </c>
      <c r="B66" s="7" t="s">
        <v>107</v>
      </c>
      <c r="C66" s="8" t="n">
        <v>340</v>
      </c>
      <c r="D66" s="8" t="n">
        <v>8717</v>
      </c>
      <c r="E66" s="8" t="n">
        <v>38635</v>
      </c>
      <c r="F66" s="9" t="n">
        <v>-0.338</v>
      </c>
      <c r="G66" s="9" t="n">
        <v>0.572970861534932</v>
      </c>
      <c r="H66" s="9" t="n">
        <v>0.334774463691637</v>
      </c>
      <c r="I66" s="9" t="n">
        <v>0.128331880234025</v>
      </c>
      <c r="J66" s="10" t="n">
        <v>17.1867500286796</v>
      </c>
      <c r="K66" s="10" t="n">
        <v>8.8912814041528</v>
      </c>
      <c r="L66" s="10" t="n">
        <v>1.26052541011816</v>
      </c>
      <c r="M66" s="10" t="n">
        <v>1.42800275324079</v>
      </c>
      <c r="N66" s="10" t="n">
        <v>8.47839853160491</v>
      </c>
      <c r="O66" s="10" t="n">
        <v>22.4858896409315</v>
      </c>
      <c r="P66" s="11" t="n">
        <v>25.6382352941177</v>
      </c>
      <c r="Q66" s="8" t="n">
        <v>8.31227486520592</v>
      </c>
      <c r="R66" s="8" t="n">
        <v>25.5719743030859</v>
      </c>
      <c r="S66" s="9" t="n">
        <v>0.629</v>
      </c>
      <c r="T66" s="9" t="n">
        <v>-0.967</v>
      </c>
    </row>
    <row r="67" customFormat="false" ht="15" hidden="false" customHeight="true" outlineLevel="0" collapsed="false">
      <c r="A67" s="7" t="n">
        <v>1626172</v>
      </c>
      <c r="B67" s="7" t="s">
        <v>108</v>
      </c>
      <c r="C67" s="8" t="n">
        <v>335</v>
      </c>
      <c r="D67" s="8" t="n">
        <v>6335</v>
      </c>
      <c r="E67" s="8" t="n">
        <v>29642</v>
      </c>
      <c r="F67" s="9" t="n">
        <v>2.534</v>
      </c>
      <c r="G67" s="9" t="n">
        <v>0.59337774269929</v>
      </c>
      <c r="H67" s="9" t="n">
        <v>0.0162970797158642</v>
      </c>
      <c r="I67" s="9" t="n">
        <v>0.358092501973165</v>
      </c>
      <c r="J67" s="10" t="n">
        <v>20.2507813733228</v>
      </c>
      <c r="K67" s="10" t="n">
        <v>13.792407261247</v>
      </c>
      <c r="L67" s="10" t="n">
        <v>1.42066298342541</v>
      </c>
      <c r="M67" s="10" t="n">
        <v>2.59737963693765</v>
      </c>
      <c r="N67" s="10" t="n">
        <v>12.0731491712707</v>
      </c>
      <c r="O67" s="10" t="n">
        <v>11.6221783741121</v>
      </c>
      <c r="P67" s="11" t="n">
        <v>18.910447761194</v>
      </c>
      <c r="Q67" s="8" t="n">
        <v>14.8681452249408</v>
      </c>
      <c r="R67" s="8" t="n">
        <v>25.4855880031571</v>
      </c>
      <c r="S67" s="9" t="n">
        <v>1.179</v>
      </c>
      <c r="T67" s="9" t="n">
        <v>1.355</v>
      </c>
    </row>
    <row r="68" customFormat="false" ht="15" hidden="false" customHeight="true" outlineLevel="0" collapsed="false">
      <c r="A68" s="7" t="n">
        <v>1626181</v>
      </c>
      <c r="B68" s="7" t="s">
        <v>109</v>
      </c>
      <c r="C68" s="8" t="n">
        <v>299</v>
      </c>
      <c r="D68" s="8" t="n">
        <v>8690</v>
      </c>
      <c r="E68" s="8" t="n">
        <v>38317</v>
      </c>
      <c r="F68" s="9" t="n">
        <v>-0.566</v>
      </c>
      <c r="G68" s="9" t="n">
        <v>0.61377917146145</v>
      </c>
      <c r="H68" s="9" t="n">
        <v>0.450042807825086</v>
      </c>
      <c r="I68" s="9" t="n">
        <v>0.319447065592635</v>
      </c>
      <c r="J68" s="10" t="n">
        <v>5.74602991944764</v>
      </c>
      <c r="K68" s="10" t="n">
        <v>9.91467203682394</v>
      </c>
      <c r="L68" s="10" t="n">
        <v>1.5167663981588</v>
      </c>
      <c r="M68" s="10" t="n">
        <v>0.89517836593786</v>
      </c>
      <c r="N68" s="10" t="n">
        <v>9.10187571921749</v>
      </c>
      <c r="O68" s="10" t="n">
        <v>24.3990794016111</v>
      </c>
      <c r="P68" s="11" t="n">
        <v>29.0635451505017</v>
      </c>
      <c r="Q68" s="8" t="n">
        <v>1.29155350978136</v>
      </c>
      <c r="R68" s="8" t="n">
        <v>10.1375489067894</v>
      </c>
      <c r="S68" s="9" t="n">
        <v>0.409</v>
      </c>
      <c r="T68" s="9" t="n">
        <v>-0.975</v>
      </c>
    </row>
    <row r="69" customFormat="false" ht="15" hidden="false" customHeight="true" outlineLevel="0" collapsed="false">
      <c r="A69" s="7" t="n">
        <v>1626192</v>
      </c>
      <c r="B69" s="7" t="s">
        <v>110</v>
      </c>
      <c r="C69" s="8" t="n">
        <v>285</v>
      </c>
      <c r="D69" s="8" t="n">
        <v>5710</v>
      </c>
      <c r="E69" s="8" t="n">
        <v>25656</v>
      </c>
      <c r="F69" s="9" t="n">
        <v>-3.955</v>
      </c>
      <c r="G69" s="9" t="n">
        <v>0.576640980735552</v>
      </c>
      <c r="H69" s="9" t="n">
        <v>0.695806479859895</v>
      </c>
      <c r="I69" s="9" t="n">
        <v>0.13651523642732</v>
      </c>
      <c r="J69" s="10" t="n">
        <v>9.0522942206655</v>
      </c>
      <c r="K69" s="10" t="n">
        <v>9.32600700525394</v>
      </c>
      <c r="L69" s="10" t="n">
        <v>1.29712784588441</v>
      </c>
      <c r="M69" s="10" t="n">
        <v>0.906812609457093</v>
      </c>
      <c r="N69" s="10" t="n">
        <v>8.76847635726795</v>
      </c>
      <c r="O69" s="10" t="n">
        <v>13.2553239929948</v>
      </c>
      <c r="P69" s="11" t="n">
        <v>20.0350877192983</v>
      </c>
      <c r="Q69" s="8" t="n">
        <v>3.49896672504378</v>
      </c>
      <c r="R69" s="8" t="n">
        <v>14.3043432574431</v>
      </c>
      <c r="S69" s="9" t="n">
        <v>-1.815</v>
      </c>
      <c r="T69" s="9" t="n">
        <v>-2.14</v>
      </c>
    </row>
    <row r="70" customFormat="false" ht="15" hidden="false" customHeight="true" outlineLevel="0" collapsed="false">
      <c r="A70" s="7" t="n">
        <v>1626204</v>
      </c>
      <c r="B70" s="7" t="s">
        <v>111</v>
      </c>
      <c r="C70" s="8" t="n">
        <v>231</v>
      </c>
      <c r="D70" s="8" t="n">
        <v>4549</v>
      </c>
      <c r="E70" s="8" t="n">
        <v>19320</v>
      </c>
      <c r="F70" s="9" t="n">
        <v>-0.295</v>
      </c>
      <c r="G70" s="9" t="n">
        <v>0.620637063090789</v>
      </c>
      <c r="H70" s="9" t="n">
        <v>0.27878214992306</v>
      </c>
      <c r="I70" s="9" t="n">
        <v>0.217982853374368</v>
      </c>
      <c r="J70" s="10" t="n">
        <v>13.5329303143548</v>
      </c>
      <c r="K70" s="10" t="n">
        <v>11.5002198285337</v>
      </c>
      <c r="L70" s="10" t="n">
        <v>2.15339635084634</v>
      </c>
      <c r="M70" s="10" t="n">
        <v>2.01760826555287</v>
      </c>
      <c r="N70" s="10" t="n">
        <v>12.4750274785667</v>
      </c>
      <c r="O70" s="10" t="n">
        <v>12.5394152561002</v>
      </c>
      <c r="P70" s="11" t="n">
        <v>19.6926406926407</v>
      </c>
      <c r="Q70" s="8" t="n">
        <v>7.89881292591778</v>
      </c>
      <c r="R70" s="8" t="n">
        <v>19.248560123104</v>
      </c>
      <c r="S70" s="9" t="n">
        <v>-1.172</v>
      </c>
      <c r="T70" s="9" t="n">
        <v>0.877</v>
      </c>
    </row>
    <row r="71" customFormat="false" ht="15" hidden="false" customHeight="true" outlineLevel="0" collapsed="false">
      <c r="A71" s="7" t="n">
        <v>1626220</v>
      </c>
      <c r="B71" s="7" t="s">
        <v>112</v>
      </c>
      <c r="C71" s="8" t="n">
        <v>385</v>
      </c>
      <c r="D71" s="8" t="n">
        <v>10819</v>
      </c>
      <c r="E71" s="8" t="n">
        <v>46045</v>
      </c>
      <c r="F71" s="9" t="n">
        <v>-0.996</v>
      </c>
      <c r="G71" s="9" t="n">
        <v>0.575217210463074</v>
      </c>
      <c r="H71" s="9" t="n">
        <v>0.753667899066457</v>
      </c>
      <c r="I71" s="9" t="n">
        <v>0.0858771605508827</v>
      </c>
      <c r="J71" s="10" t="n">
        <v>9.5066364728718</v>
      </c>
      <c r="K71" s="10" t="n">
        <v>13.157611609206</v>
      </c>
      <c r="L71" s="10" t="n">
        <v>1.65494038266014</v>
      </c>
      <c r="M71" s="10" t="n">
        <v>1.58162491912376</v>
      </c>
      <c r="N71" s="10" t="n">
        <v>13.2863850633145</v>
      </c>
      <c r="O71" s="10" t="n">
        <v>13.2971439134855</v>
      </c>
      <c r="P71" s="11" t="n">
        <v>28.1012987012987</v>
      </c>
      <c r="Q71" s="8" t="n">
        <v>3.0136611516776</v>
      </c>
      <c r="R71" s="8" t="n">
        <v>15.8583418060819</v>
      </c>
      <c r="S71" s="9" t="n">
        <v>-1.285</v>
      </c>
      <c r="T71" s="9" t="n">
        <v>0.289</v>
      </c>
    </row>
    <row r="72" customFormat="false" ht="15" hidden="false" customHeight="true" outlineLevel="0" collapsed="false">
      <c r="A72" s="7" t="n">
        <v>1627734</v>
      </c>
      <c r="B72" s="7" t="s">
        <v>113</v>
      </c>
      <c r="C72" s="8" t="n">
        <v>312</v>
      </c>
      <c r="D72" s="8" t="n">
        <v>10793</v>
      </c>
      <c r="E72" s="8" t="n">
        <v>45210</v>
      </c>
      <c r="F72" s="9" t="n">
        <v>0.622</v>
      </c>
      <c r="G72" s="9" t="n">
        <v>0.646453349393125</v>
      </c>
      <c r="H72" s="9" t="n">
        <v>0.122102381172982</v>
      </c>
      <c r="I72" s="9" t="n">
        <v>0.399918095061614</v>
      </c>
      <c r="J72" s="10" t="n">
        <v>20.970184378764</v>
      </c>
      <c r="K72" s="10" t="n">
        <v>28.537978319281</v>
      </c>
      <c r="L72" s="10" t="n">
        <v>1.16510701380524</v>
      </c>
      <c r="M72" s="10" t="n">
        <v>1.190456777541</v>
      </c>
      <c r="N72" s="10" t="n">
        <v>17.1895580468822</v>
      </c>
      <c r="O72" s="10" t="n">
        <v>21.8984156397665</v>
      </c>
      <c r="P72" s="11" t="n">
        <v>34.5929487179487</v>
      </c>
      <c r="Q72" s="8" t="n">
        <v>11.1205688872417</v>
      </c>
      <c r="R72" s="8" t="n">
        <v>31.0634485314556</v>
      </c>
      <c r="S72" s="9" t="n">
        <v>-0.117</v>
      </c>
      <c r="T72" s="9" t="n">
        <v>0.739</v>
      </c>
    </row>
    <row r="73" customFormat="false" ht="15" hidden="false" customHeight="true" outlineLevel="0" collapsed="false">
      <c r="A73" s="7" t="n">
        <v>1627739</v>
      </c>
      <c r="B73" s="7" t="s">
        <v>114</v>
      </c>
      <c r="C73" s="8" t="n">
        <v>258</v>
      </c>
      <c r="D73" s="8" t="n">
        <v>6166</v>
      </c>
      <c r="E73" s="8" t="n">
        <v>25792</v>
      </c>
      <c r="F73" s="9" t="n">
        <v>1.803</v>
      </c>
      <c r="G73" s="9" t="n">
        <v>0.556360201102822</v>
      </c>
      <c r="H73" s="9" t="n">
        <v>0.403906584495621</v>
      </c>
      <c r="I73" s="9" t="n">
        <v>0.1287615958482</v>
      </c>
      <c r="J73" s="10" t="n">
        <v>7.87345118391177</v>
      </c>
      <c r="K73" s="10" t="n">
        <v>21.3622607849497</v>
      </c>
      <c r="L73" s="10" t="n">
        <v>2.96083360363283</v>
      </c>
      <c r="M73" s="10" t="n">
        <v>1.24309114498865</v>
      </c>
      <c r="N73" s="10" t="n">
        <v>16.8988809601038</v>
      </c>
      <c r="O73" s="10" t="n">
        <v>13.7698507946805</v>
      </c>
      <c r="P73" s="11" t="n">
        <v>23.8992248062016</v>
      </c>
      <c r="Q73" s="8" t="n">
        <v>3.304768083036</v>
      </c>
      <c r="R73" s="8" t="n">
        <v>12.2791761271489</v>
      </c>
      <c r="S73" s="9" t="n">
        <v>1.062</v>
      </c>
      <c r="T73" s="9" t="n">
        <v>0.74</v>
      </c>
    </row>
    <row r="74" customFormat="false" ht="15" hidden="false" customHeight="true" outlineLevel="0" collapsed="false">
      <c r="A74" s="7" t="n">
        <v>1627741</v>
      </c>
      <c r="B74" s="7" t="s">
        <v>115</v>
      </c>
      <c r="C74" s="8" t="n">
        <v>378</v>
      </c>
      <c r="D74" s="8" t="n">
        <v>9823</v>
      </c>
      <c r="E74" s="8" t="n">
        <v>42007</v>
      </c>
      <c r="F74" s="9" t="n">
        <v>-2.497</v>
      </c>
      <c r="G74" s="9" t="n">
        <v>0.575216532627507</v>
      </c>
      <c r="H74" s="9" t="n">
        <v>0.663908989107197</v>
      </c>
      <c r="I74" s="9" t="n">
        <v>0.100798330448946</v>
      </c>
      <c r="J74" s="10" t="n">
        <v>7.87243204723608</v>
      </c>
      <c r="K74" s="10" t="n">
        <v>13.1562760867352</v>
      </c>
      <c r="L74" s="10" t="n">
        <v>1.69594828463809</v>
      </c>
      <c r="M74" s="10" t="n">
        <v>1.11915911635956</v>
      </c>
      <c r="N74" s="10" t="n">
        <v>11.0816349384099</v>
      </c>
      <c r="O74" s="10" t="n">
        <v>20.7566323933625</v>
      </c>
      <c r="P74" s="11" t="n">
        <v>25.9867724867725</v>
      </c>
      <c r="Q74" s="8" t="n">
        <v>3.02760867352133</v>
      </c>
      <c r="R74" s="8" t="n">
        <v>12.8521632902372</v>
      </c>
      <c r="S74" s="9" t="n">
        <v>-0.641</v>
      </c>
      <c r="T74" s="9" t="n">
        <v>-1.856</v>
      </c>
    </row>
    <row r="75" customFormat="false" ht="15" hidden="false" customHeight="true" outlineLevel="0" collapsed="false">
      <c r="A75" s="7" t="n">
        <v>1627742</v>
      </c>
      <c r="B75" s="7" t="s">
        <v>116</v>
      </c>
      <c r="C75" s="8" t="n">
        <v>259</v>
      </c>
      <c r="D75" s="8" t="n">
        <v>8709</v>
      </c>
      <c r="E75" s="8" t="n">
        <v>37346</v>
      </c>
      <c r="F75" s="9" t="n">
        <v>0.797</v>
      </c>
      <c r="G75" s="9" t="n">
        <v>0.570831094270295</v>
      </c>
      <c r="H75" s="9" t="n">
        <v>0.246940291652314</v>
      </c>
      <c r="I75" s="9" t="n">
        <v>0.294684234699736</v>
      </c>
      <c r="J75" s="10" t="n">
        <v>9.15480537375129</v>
      </c>
      <c r="K75" s="10" t="n">
        <v>24.2300264094615</v>
      </c>
      <c r="L75" s="10" t="n">
        <v>1.07723045125732</v>
      </c>
      <c r="M75" s="10" t="n">
        <v>1.67068549776094</v>
      </c>
      <c r="N75" s="10" t="n">
        <v>12.4383511310139</v>
      </c>
      <c r="O75" s="10" t="n">
        <v>28.4016879090596</v>
      </c>
      <c r="P75" s="11" t="n">
        <v>33.6254826254826</v>
      </c>
      <c r="Q75" s="8" t="n">
        <v>2.29708347686302</v>
      </c>
      <c r="R75" s="8" t="n">
        <v>16.0314502239063</v>
      </c>
      <c r="S75" s="9" t="n">
        <v>0.979</v>
      </c>
      <c r="T75" s="9" t="n">
        <v>-0.181</v>
      </c>
    </row>
    <row r="76" customFormat="false" ht="15" hidden="false" customHeight="true" outlineLevel="0" collapsed="false">
      <c r="A76" s="7" t="n">
        <v>1627747</v>
      </c>
      <c r="B76" s="7" t="s">
        <v>117</v>
      </c>
      <c r="C76" s="8" t="n">
        <v>324</v>
      </c>
      <c r="D76" s="8" t="n">
        <v>8726</v>
      </c>
      <c r="E76" s="8" t="n">
        <v>37601</v>
      </c>
      <c r="F76" s="9" t="n">
        <v>-0.436</v>
      </c>
      <c r="G76" s="9" t="n">
        <v>0.539658835663534</v>
      </c>
      <c r="H76" s="9" t="n">
        <v>0.411666628466651</v>
      </c>
      <c r="I76" s="9" t="n">
        <v>0.239202498280999</v>
      </c>
      <c r="J76" s="10" t="n">
        <v>7.07548705019482</v>
      </c>
      <c r="K76" s="10" t="n">
        <v>20.5889296355719</v>
      </c>
      <c r="L76" s="10" t="n">
        <v>1.71090992436397</v>
      </c>
      <c r="M76" s="10" t="n">
        <v>1.65027504011002</v>
      </c>
      <c r="N76" s="10" t="n">
        <v>11.8339330735732</v>
      </c>
      <c r="O76" s="10" t="n">
        <v>21.1431469172588</v>
      </c>
      <c r="P76" s="11" t="n">
        <v>26.9320987654321</v>
      </c>
      <c r="Q76" s="8" t="n">
        <v>2.60127206050882</v>
      </c>
      <c r="R76" s="8" t="n">
        <v>11.5621132248453</v>
      </c>
      <c r="S76" s="9" t="n">
        <v>0.104</v>
      </c>
      <c r="T76" s="9" t="n">
        <v>-0.54</v>
      </c>
    </row>
    <row r="77" customFormat="false" ht="15" hidden="false" customHeight="true" outlineLevel="0" collapsed="false">
      <c r="A77" s="7" t="n">
        <v>1627749</v>
      </c>
      <c r="B77" s="7" t="s">
        <v>118</v>
      </c>
      <c r="C77" s="8" t="n">
        <v>265</v>
      </c>
      <c r="D77" s="8" t="n">
        <v>9243</v>
      </c>
      <c r="E77" s="8" t="n">
        <v>39466</v>
      </c>
      <c r="F77" s="9" t="n">
        <v>-0.083</v>
      </c>
      <c r="G77" s="9" t="n">
        <v>0.539371524396841</v>
      </c>
      <c r="H77" s="9" t="n">
        <v>0.313039164773342</v>
      </c>
      <c r="I77" s="9" t="n">
        <v>0.184667099426593</v>
      </c>
      <c r="J77" s="10" t="n">
        <v>9.54949691658552</v>
      </c>
      <c r="K77" s="10" t="n">
        <v>31.0638429081467</v>
      </c>
      <c r="L77" s="10" t="n">
        <v>2.31782970896895</v>
      </c>
      <c r="M77" s="10" t="n">
        <v>0.77036676403765</v>
      </c>
      <c r="N77" s="10" t="n">
        <v>11.9638429081467</v>
      </c>
      <c r="O77" s="10" t="n">
        <v>26.2148436654766</v>
      </c>
      <c r="P77" s="11" t="n">
        <v>34.8792452830189</v>
      </c>
      <c r="Q77" s="8" t="n">
        <v>2.44365465757871</v>
      </c>
      <c r="R77" s="8" t="n">
        <v>16.9237801579574</v>
      </c>
      <c r="S77" s="9" t="n">
        <v>0.435</v>
      </c>
      <c r="T77" s="9" t="n">
        <v>-0.518</v>
      </c>
    </row>
    <row r="78" customFormat="false" ht="15" hidden="false" customHeight="true" outlineLevel="0" collapsed="false">
      <c r="A78" s="7" t="n">
        <v>1627751</v>
      </c>
      <c r="B78" s="7" t="s">
        <v>119</v>
      </c>
      <c r="C78" s="8" t="n">
        <v>293</v>
      </c>
      <c r="D78" s="8" t="n">
        <v>8030</v>
      </c>
      <c r="E78" s="8" t="n">
        <v>33562</v>
      </c>
      <c r="F78" s="9" t="n">
        <v>2.062</v>
      </c>
      <c r="G78" s="9" t="n">
        <v>0.642833748443338</v>
      </c>
      <c r="H78" s="9" t="n">
        <v>0.0020151930261519</v>
      </c>
      <c r="I78" s="9" t="n">
        <v>0.291533623910336</v>
      </c>
      <c r="J78" s="10" t="n">
        <v>17.5389165628892</v>
      </c>
      <c r="K78" s="10" t="n">
        <v>14.0607098381071</v>
      </c>
      <c r="L78" s="10" t="n">
        <v>1.52909090909091</v>
      </c>
      <c r="M78" s="10" t="n">
        <v>4.24</v>
      </c>
      <c r="N78" s="10" t="n">
        <v>14.2646326276463</v>
      </c>
      <c r="O78" s="10" t="n">
        <v>17.5860398505604</v>
      </c>
      <c r="P78" s="11" t="n">
        <v>27.4061433447099</v>
      </c>
      <c r="Q78" s="8" t="n">
        <v>12.509601494396</v>
      </c>
      <c r="R78" s="8" t="n">
        <v>22.7862889165629</v>
      </c>
      <c r="S78" s="9" t="n">
        <v>1.451</v>
      </c>
      <c r="T78" s="9" t="n">
        <v>0.611</v>
      </c>
    </row>
    <row r="79" customFormat="false" ht="15" hidden="false" customHeight="true" outlineLevel="0" collapsed="false">
      <c r="A79" s="7" t="n">
        <v>1627752</v>
      </c>
      <c r="B79" s="7" t="s">
        <v>120</v>
      </c>
      <c r="C79" s="8" t="n">
        <v>307</v>
      </c>
      <c r="D79" s="8" t="n">
        <v>7254</v>
      </c>
      <c r="E79" s="8" t="n">
        <v>31722</v>
      </c>
      <c r="F79" s="9" t="n">
        <v>-2.896</v>
      </c>
      <c r="G79" s="9" t="n">
        <v>0.596933278191343</v>
      </c>
      <c r="H79" s="9" t="n">
        <v>0.616552798456024</v>
      </c>
      <c r="I79" s="9" t="n">
        <v>0.132392748828233</v>
      </c>
      <c r="J79" s="10" t="n">
        <v>6.85486628067273</v>
      </c>
      <c r="K79" s="10" t="n">
        <v>8.6921146953405</v>
      </c>
      <c r="L79" s="10" t="n">
        <v>1.48392610973256</v>
      </c>
      <c r="M79" s="10" t="n">
        <v>1.15926385442515</v>
      </c>
      <c r="N79" s="10" t="n">
        <v>12.4229804245933</v>
      </c>
      <c r="O79" s="10" t="n">
        <v>14.7083264405845</v>
      </c>
      <c r="P79" s="11" t="n">
        <v>23.628664495114</v>
      </c>
      <c r="Q79" s="8" t="n">
        <v>1.54838709677419</v>
      </c>
      <c r="R79" s="8" t="n">
        <v>11.8955748552523</v>
      </c>
      <c r="S79" s="9" t="n">
        <v>-0.634</v>
      </c>
      <c r="T79" s="9" t="n">
        <v>-2.261</v>
      </c>
    </row>
    <row r="80" customFormat="false" ht="15" hidden="false" customHeight="true" outlineLevel="0" collapsed="false">
      <c r="A80" s="7" t="n">
        <v>1627759</v>
      </c>
      <c r="B80" s="7" t="s">
        <v>121</v>
      </c>
      <c r="C80" s="8" t="n">
        <v>337</v>
      </c>
      <c r="D80" s="8" t="n">
        <v>11569</v>
      </c>
      <c r="E80" s="8" t="n">
        <v>58823</v>
      </c>
      <c r="F80" s="9" t="n">
        <v>-0.786</v>
      </c>
      <c r="G80" s="9" t="n">
        <v>0.572915031549832</v>
      </c>
      <c r="H80" s="9" t="n">
        <v>0.327325092920736</v>
      </c>
      <c r="I80" s="9" t="n">
        <v>0.27724669375054</v>
      </c>
      <c r="J80" s="10" t="n">
        <v>9.92370991442648</v>
      </c>
      <c r="K80" s="10" t="n">
        <v>19.6878900509984</v>
      </c>
      <c r="L80" s="10" t="n">
        <v>1.61725300371683</v>
      </c>
      <c r="M80" s="10" t="n">
        <v>0.986463825741205</v>
      </c>
      <c r="N80" s="10" t="n">
        <v>11.5711297432795</v>
      </c>
      <c r="O80" s="10" t="n">
        <v>31.2682600051863</v>
      </c>
      <c r="P80" s="11" t="n">
        <v>34.3293768545994</v>
      </c>
      <c r="Q80" s="8" t="n">
        <v>3.6035007347221</v>
      </c>
      <c r="R80" s="8" t="n">
        <v>15.960644826692</v>
      </c>
      <c r="S80" s="9" t="n">
        <v>0.092</v>
      </c>
      <c r="T80" s="9" t="n">
        <v>-0.878</v>
      </c>
    </row>
    <row r="81" customFormat="false" ht="15" hidden="false" customHeight="true" outlineLevel="0" collapsed="false">
      <c r="A81" s="7" t="n">
        <v>1627780</v>
      </c>
      <c r="B81" s="7" t="s">
        <v>122</v>
      </c>
      <c r="C81" s="8" t="n">
        <v>272</v>
      </c>
      <c r="D81" s="8" t="n">
        <v>4364</v>
      </c>
      <c r="E81" s="8" t="n">
        <v>20225</v>
      </c>
      <c r="F81" s="9" t="n">
        <v>1.046</v>
      </c>
      <c r="G81" s="9" t="n">
        <v>0.650166819431714</v>
      </c>
      <c r="H81" s="9" t="n">
        <v>0.326250229147571</v>
      </c>
      <c r="I81" s="9" t="n">
        <v>0.128768790100825</v>
      </c>
      <c r="J81" s="10" t="n">
        <v>11.0310036663611</v>
      </c>
      <c r="K81" s="10" t="n">
        <v>11.8533684692942</v>
      </c>
      <c r="L81" s="10" t="n">
        <v>3.07314390467461</v>
      </c>
      <c r="M81" s="10" t="n">
        <v>1.76702566452796</v>
      </c>
      <c r="N81" s="10" t="n">
        <v>11.8574243813016</v>
      </c>
      <c r="O81" s="10" t="n">
        <v>15.3098075160403</v>
      </c>
      <c r="P81" s="11" t="n">
        <v>16.0441176470588</v>
      </c>
      <c r="Q81" s="8" t="n">
        <v>7.44711274060495</v>
      </c>
      <c r="R81" s="8" t="n">
        <v>14.687832263978</v>
      </c>
      <c r="S81" s="9" t="n">
        <v>1.183</v>
      </c>
      <c r="T81" s="9" t="n">
        <v>-0.137</v>
      </c>
    </row>
    <row r="82" customFormat="false" ht="15" hidden="false" customHeight="true" outlineLevel="0" collapsed="false">
      <c r="A82" s="7" t="n">
        <v>1627783</v>
      </c>
      <c r="B82" s="7" t="s">
        <v>123</v>
      </c>
      <c r="C82" s="8" t="n">
        <v>359</v>
      </c>
      <c r="D82" s="8" t="n">
        <v>12492</v>
      </c>
      <c r="E82" s="8" t="n">
        <v>57344</v>
      </c>
      <c r="F82" s="9" t="n">
        <v>3.721</v>
      </c>
      <c r="G82" s="9" t="n">
        <v>0.579098062760166</v>
      </c>
      <c r="H82" s="9" t="n">
        <v>0.222822126160743</v>
      </c>
      <c r="I82" s="9" t="n">
        <v>0.314882724943964</v>
      </c>
      <c r="J82" s="10" t="n">
        <v>11.7768491834774</v>
      </c>
      <c r="K82" s="10" t="n">
        <v>20.6382084534102</v>
      </c>
      <c r="L82" s="10" t="n">
        <v>1.34754242715338</v>
      </c>
      <c r="M82" s="10" t="n">
        <v>1.24695805315402</v>
      </c>
      <c r="N82" s="10" t="n">
        <v>9.52436759526097</v>
      </c>
      <c r="O82" s="10" t="n">
        <v>26.3725744476465</v>
      </c>
      <c r="P82" s="11" t="n">
        <v>34.7966573816156</v>
      </c>
      <c r="Q82" s="8" t="n">
        <v>5.35096061479347</v>
      </c>
      <c r="R82" s="8" t="n">
        <v>18.6139369196286</v>
      </c>
      <c r="S82" s="9" t="n">
        <v>2.388</v>
      </c>
      <c r="T82" s="9" t="n">
        <v>1.333</v>
      </c>
    </row>
    <row r="83" customFormat="false" ht="15" hidden="false" customHeight="true" outlineLevel="0" collapsed="false">
      <c r="A83" s="7" t="n">
        <v>1627826</v>
      </c>
      <c r="B83" s="7" t="s">
        <v>124</v>
      </c>
      <c r="C83" s="8" t="n">
        <v>348</v>
      </c>
      <c r="D83" s="8" t="n">
        <v>9886</v>
      </c>
      <c r="E83" s="8" t="n">
        <v>42020</v>
      </c>
      <c r="F83" s="9" t="n">
        <v>0.34</v>
      </c>
      <c r="G83" s="9" t="n">
        <v>0.651614404207971</v>
      </c>
      <c r="H83" s="9" t="n">
        <v>0.0008780093060894</v>
      </c>
      <c r="I83" s="9" t="n">
        <v>0.355457414525592</v>
      </c>
      <c r="J83" s="10" t="n">
        <v>20.0723447299211</v>
      </c>
      <c r="K83" s="10" t="n">
        <v>9.36663969249444</v>
      </c>
      <c r="L83" s="10" t="n">
        <v>0.803054825005058</v>
      </c>
      <c r="M83" s="10" t="n">
        <v>3.57859599433542</v>
      </c>
      <c r="N83" s="10" t="n">
        <v>13.5033582844427</v>
      </c>
      <c r="O83" s="10" t="n">
        <v>17.3560995346955</v>
      </c>
      <c r="P83" s="11" t="n">
        <v>28.4080459770115</v>
      </c>
      <c r="Q83" s="8" t="n">
        <v>12.8430103176209</v>
      </c>
      <c r="R83" s="8" t="n">
        <v>27.0054825005058</v>
      </c>
      <c r="S83" s="9" t="n">
        <v>-1.537</v>
      </c>
      <c r="T83" s="9" t="n">
        <v>1.878</v>
      </c>
    </row>
    <row r="84" customFormat="false" ht="15" hidden="false" customHeight="true" outlineLevel="0" collapsed="false">
      <c r="A84" s="7" t="n">
        <v>1627827</v>
      </c>
      <c r="B84" s="7" t="s">
        <v>125</v>
      </c>
      <c r="C84" s="8" t="n">
        <v>314</v>
      </c>
      <c r="D84" s="8" t="n">
        <v>9025</v>
      </c>
      <c r="E84" s="8" t="n">
        <v>39442</v>
      </c>
      <c r="F84" s="9" t="n">
        <v>2.072</v>
      </c>
      <c r="G84" s="9" t="n">
        <v>0.563097950138504</v>
      </c>
      <c r="H84" s="9" t="n">
        <v>0.673050304709141</v>
      </c>
      <c r="I84" s="9" t="n">
        <v>0.1061291966759</v>
      </c>
      <c r="J84" s="10" t="n">
        <v>8.3677783933518</v>
      </c>
      <c r="K84" s="10" t="n">
        <v>7.40007756232687</v>
      </c>
      <c r="L84" s="10" t="n">
        <v>1.52130747922438</v>
      </c>
      <c r="M84" s="10" t="n">
        <v>1.42630470914127</v>
      </c>
      <c r="N84" s="10" t="n">
        <v>10.5513684210526</v>
      </c>
      <c r="O84" s="10" t="n">
        <v>13.0227368421053</v>
      </c>
      <c r="P84" s="11" t="n">
        <v>28.7420382165605</v>
      </c>
      <c r="Q84" s="8" t="n">
        <v>5.66680332409972</v>
      </c>
      <c r="R84" s="8" t="n">
        <v>11.0833130193906</v>
      </c>
      <c r="S84" s="9" t="n">
        <v>0.576</v>
      </c>
      <c r="T84" s="9" t="n">
        <v>1.496</v>
      </c>
    </row>
    <row r="85" customFormat="false" ht="15" hidden="false" customHeight="true" outlineLevel="0" collapsed="false">
      <c r="A85" s="7" t="n">
        <v>1627884</v>
      </c>
      <c r="B85" s="7" t="s">
        <v>126</v>
      </c>
      <c r="C85" s="8" t="n">
        <v>318</v>
      </c>
      <c r="D85" s="8" t="n">
        <v>6798</v>
      </c>
      <c r="E85" s="8" t="n">
        <v>30979</v>
      </c>
      <c r="F85" s="9" t="n">
        <v>2.159</v>
      </c>
      <c r="G85" s="9" t="n">
        <v>0.604351426890262</v>
      </c>
      <c r="H85" s="9" t="n">
        <v>0.396513092085908</v>
      </c>
      <c r="I85" s="9" t="n">
        <v>0.271309355692851</v>
      </c>
      <c r="J85" s="10" t="n">
        <v>8.38917328626066</v>
      </c>
      <c r="K85" s="10" t="n">
        <v>5.41147396293027</v>
      </c>
      <c r="L85" s="10" t="n">
        <v>1.67871432774345</v>
      </c>
      <c r="M85" s="10" t="n">
        <v>2.76778464254192</v>
      </c>
      <c r="N85" s="10" t="n">
        <v>9.72102088849662</v>
      </c>
      <c r="O85" s="10" t="n">
        <v>15.010620770815</v>
      </c>
      <c r="P85" s="11" t="n">
        <v>21.377358490566</v>
      </c>
      <c r="Q85" s="8" t="n">
        <v>5.97081494557223</v>
      </c>
      <c r="R85" s="8" t="n">
        <v>10.6733451015004</v>
      </c>
      <c r="S85" s="9" t="n">
        <v>-0.242</v>
      </c>
      <c r="T85" s="9" t="n">
        <v>2.401</v>
      </c>
    </row>
    <row r="86" customFormat="false" ht="15" hidden="false" customHeight="true" outlineLevel="0" collapsed="false">
      <c r="A86" s="7" t="n">
        <v>1627936</v>
      </c>
      <c r="B86" s="7" t="s">
        <v>127</v>
      </c>
      <c r="C86" s="8" t="n">
        <v>289</v>
      </c>
      <c r="D86" s="8" t="n">
        <v>6823</v>
      </c>
      <c r="E86" s="8" t="n">
        <v>31836</v>
      </c>
      <c r="F86" s="9" t="n">
        <v>4.612</v>
      </c>
      <c r="G86" s="9" t="n">
        <v>0.575161072841859</v>
      </c>
      <c r="H86" s="9" t="n">
        <v>0.56145463872197</v>
      </c>
      <c r="I86" s="9" t="n">
        <v>0.20982588304265</v>
      </c>
      <c r="J86" s="10" t="n">
        <v>7.58549025355416</v>
      </c>
      <c r="K86" s="10" t="n">
        <v>16.2088670672725</v>
      </c>
      <c r="L86" s="10" t="n">
        <v>3.18247105378866</v>
      </c>
      <c r="M86" s="10" t="n">
        <v>2.55937270995163</v>
      </c>
      <c r="N86" s="10" t="n">
        <v>15.1839220284332</v>
      </c>
      <c r="O86" s="10" t="n">
        <v>13.8594166788803</v>
      </c>
      <c r="P86" s="11" t="n">
        <v>23.6089965397924</v>
      </c>
      <c r="Q86" s="8" t="n">
        <v>3.33073428110802</v>
      </c>
      <c r="R86" s="8" t="n">
        <v>11.7318041917045</v>
      </c>
      <c r="S86" s="9" t="n">
        <v>-0.135</v>
      </c>
      <c r="T86" s="9" t="n">
        <v>4.747</v>
      </c>
    </row>
    <row r="87" customFormat="false" ht="15" hidden="false" customHeight="true" outlineLevel="0" collapsed="false">
      <c r="A87" s="7" t="n">
        <v>1628365</v>
      </c>
      <c r="B87" s="7" t="s">
        <v>128</v>
      </c>
      <c r="C87" s="8" t="n">
        <v>147</v>
      </c>
      <c r="D87" s="8" t="n">
        <v>3268</v>
      </c>
      <c r="E87" s="8" t="n">
        <v>13876</v>
      </c>
      <c r="F87" s="9" t="n">
        <v>-1.059</v>
      </c>
      <c r="G87" s="9" t="n">
        <v>0.528259485924113</v>
      </c>
      <c r="H87" s="9" t="n">
        <v>0.10234088127295</v>
      </c>
      <c r="I87" s="9" t="n">
        <v>0.163264381884945</v>
      </c>
      <c r="J87" s="10" t="n">
        <v>7.65856793145655</v>
      </c>
      <c r="K87" s="10" t="n">
        <v>28.5067931456548</v>
      </c>
      <c r="L87" s="10" t="n">
        <v>2.42539779681763</v>
      </c>
      <c r="M87" s="10" t="n">
        <v>1.38451652386781</v>
      </c>
      <c r="N87" s="10" t="n">
        <v>15.4070991432069</v>
      </c>
      <c r="O87" s="10" t="n">
        <v>21.1367809057528</v>
      </c>
      <c r="P87" s="11" t="n">
        <v>22.2312925170068</v>
      </c>
      <c r="Q87" s="8" t="n">
        <v>4.73365973072215</v>
      </c>
      <c r="R87" s="8" t="n">
        <v>10.6600979192166</v>
      </c>
      <c r="S87" s="9" t="n">
        <v>-1.507</v>
      </c>
      <c r="T87" s="9" t="n">
        <v>0.449</v>
      </c>
    </row>
    <row r="88" customFormat="false" ht="15" hidden="false" customHeight="true" outlineLevel="0" collapsed="false">
      <c r="A88" s="7" t="n">
        <v>1628368</v>
      </c>
      <c r="B88" s="7" t="s">
        <v>129</v>
      </c>
      <c r="C88" s="8" t="n">
        <v>340</v>
      </c>
      <c r="D88" s="8" t="n">
        <v>11650</v>
      </c>
      <c r="E88" s="8" t="n">
        <v>52411</v>
      </c>
      <c r="F88" s="9" t="n">
        <v>2.904</v>
      </c>
      <c r="G88" s="9" t="n">
        <v>0.571228497854077</v>
      </c>
      <c r="H88" s="9" t="n">
        <v>0.319125579399142</v>
      </c>
      <c r="I88" s="9" t="n">
        <v>0.286074334763949</v>
      </c>
      <c r="J88" s="10" t="n">
        <v>6.88975965665236</v>
      </c>
      <c r="K88" s="10" t="n">
        <v>27.6332017167382</v>
      </c>
      <c r="L88" s="10" t="n">
        <v>1.98545922746781</v>
      </c>
      <c r="M88" s="10" t="n">
        <v>0.961957081545064</v>
      </c>
      <c r="N88" s="10" t="n">
        <v>11.2939656652361</v>
      </c>
      <c r="O88" s="10" t="n">
        <v>28.7844721030043</v>
      </c>
      <c r="P88" s="11" t="n">
        <v>34.2647058823529</v>
      </c>
      <c r="Q88" s="8" t="n">
        <v>2.19027467811159</v>
      </c>
      <c r="R88" s="8" t="n">
        <v>11.6114678111588</v>
      </c>
      <c r="S88" s="9" t="n">
        <v>3.17</v>
      </c>
      <c r="T88" s="9" t="n">
        <v>-0.265</v>
      </c>
    </row>
    <row r="89" customFormat="false" ht="15" hidden="false" customHeight="true" outlineLevel="0" collapsed="false">
      <c r="A89" s="7" t="n">
        <v>1628369</v>
      </c>
      <c r="B89" s="7" t="s">
        <v>130</v>
      </c>
      <c r="C89" s="8" t="n">
        <v>312</v>
      </c>
      <c r="D89" s="8" t="n">
        <v>11254</v>
      </c>
      <c r="E89" s="8" t="n">
        <v>57359</v>
      </c>
      <c r="F89" s="9" t="n">
        <v>5.056</v>
      </c>
      <c r="G89" s="9" t="n">
        <v>0.5903671583437</v>
      </c>
      <c r="H89" s="9" t="n">
        <v>0.447101030744624</v>
      </c>
      <c r="I89" s="9" t="n">
        <v>0.334389816953972</v>
      </c>
      <c r="J89" s="10" t="n">
        <v>12.7700195486049</v>
      </c>
      <c r="K89" s="10" t="n">
        <v>22.589132752799</v>
      </c>
      <c r="L89" s="10" t="n">
        <v>1.45578460991647</v>
      </c>
      <c r="M89" s="10" t="n">
        <v>1.43666251999289</v>
      </c>
      <c r="N89" s="10" t="n">
        <v>10.702914519282</v>
      </c>
      <c r="O89" s="10" t="n">
        <v>31.4918517860316</v>
      </c>
      <c r="P89" s="11" t="n">
        <v>36.0705128205128</v>
      </c>
      <c r="Q89" s="8" t="n">
        <v>2.85292340501155</v>
      </c>
      <c r="R89" s="8" t="n">
        <v>22.2537853207748</v>
      </c>
      <c r="S89" s="9" t="n">
        <v>4.095</v>
      </c>
      <c r="T89" s="9" t="n">
        <v>0.961</v>
      </c>
    </row>
    <row r="90" customFormat="false" ht="15" hidden="false" customHeight="true" outlineLevel="0" collapsed="false">
      <c r="A90" s="7" t="n">
        <v>1628370</v>
      </c>
      <c r="B90" s="7" t="s">
        <v>131</v>
      </c>
      <c r="C90" s="8" t="n">
        <v>352</v>
      </c>
      <c r="D90" s="8" t="n">
        <v>9148</v>
      </c>
      <c r="E90" s="8" t="n">
        <v>38819</v>
      </c>
      <c r="F90" s="9" t="n">
        <v>0</v>
      </c>
      <c r="G90" s="9" t="n">
        <v>0.573266506340184</v>
      </c>
      <c r="H90" s="9" t="n">
        <v>0.492536620026235</v>
      </c>
      <c r="I90" s="9" t="n">
        <v>0.196984477481417</v>
      </c>
      <c r="J90" s="10" t="n">
        <v>6.26470266724967</v>
      </c>
      <c r="K90" s="10" t="n">
        <v>23.0077393965894</v>
      </c>
      <c r="L90" s="10" t="n">
        <v>1.3666156536948</v>
      </c>
      <c r="M90" s="10" t="n">
        <v>1.50002186270223</v>
      </c>
      <c r="N90" s="10" t="n">
        <v>12.9939112374289</v>
      </c>
      <c r="O90" s="10" t="n">
        <v>23.9498578924355</v>
      </c>
      <c r="P90" s="11" t="n">
        <v>25.9886363636364</v>
      </c>
      <c r="Q90" s="8" t="n">
        <v>1.70445999125492</v>
      </c>
      <c r="R90" s="8" t="n">
        <v>10.9170857017927</v>
      </c>
      <c r="S90" s="9" t="n">
        <v>0.792</v>
      </c>
      <c r="T90" s="9" t="n">
        <v>-0.792</v>
      </c>
    </row>
    <row r="91" customFormat="false" ht="15" hidden="false" customHeight="true" outlineLevel="0" collapsed="false">
      <c r="A91" s="7" t="n">
        <v>1628374</v>
      </c>
      <c r="B91" s="7" t="s">
        <v>132</v>
      </c>
      <c r="C91" s="8" t="n">
        <v>271</v>
      </c>
      <c r="D91" s="8" t="n">
        <v>8890</v>
      </c>
      <c r="E91" s="8" t="n">
        <v>36774</v>
      </c>
      <c r="F91" s="9" t="n">
        <v>4.301</v>
      </c>
      <c r="G91" s="9" t="n">
        <v>0.609254893138358</v>
      </c>
      <c r="H91" s="9" t="n">
        <v>0.48913633295838</v>
      </c>
      <c r="I91" s="9" t="n">
        <v>0.298271653543307</v>
      </c>
      <c r="J91" s="10" t="n">
        <v>11.8461642294713</v>
      </c>
      <c r="K91" s="10" t="n">
        <v>8.42259842519685</v>
      </c>
      <c r="L91" s="10" t="n">
        <v>1.15962879640045</v>
      </c>
      <c r="M91" s="10" t="n">
        <v>1.32971878515186</v>
      </c>
      <c r="N91" s="10" t="n">
        <v>7.41050618672666</v>
      </c>
      <c r="O91" s="10" t="n">
        <v>24.5843757030371</v>
      </c>
      <c r="P91" s="11" t="n">
        <v>32.8044280442804</v>
      </c>
      <c r="Q91" s="8" t="n">
        <v>5.73520809898763</v>
      </c>
      <c r="R91" s="8" t="n">
        <v>17.8130033745782</v>
      </c>
      <c r="S91" s="9" t="n">
        <v>3.4</v>
      </c>
      <c r="T91" s="9" t="n">
        <v>0.901</v>
      </c>
    </row>
    <row r="92" customFormat="false" ht="15" hidden="false" customHeight="true" outlineLevel="0" collapsed="false">
      <c r="A92" s="7" t="n">
        <v>1628378</v>
      </c>
      <c r="B92" s="7" t="s">
        <v>133</v>
      </c>
      <c r="C92" s="8" t="n">
        <v>331</v>
      </c>
      <c r="D92" s="8" t="n">
        <v>11214</v>
      </c>
      <c r="E92" s="8" t="n">
        <v>52319</v>
      </c>
      <c r="F92" s="9" t="n">
        <v>5.001</v>
      </c>
      <c r="G92" s="9" t="n">
        <v>0.594251471375067</v>
      </c>
      <c r="H92" s="9" t="n">
        <v>0.460068842518281</v>
      </c>
      <c r="I92" s="9" t="n">
        <v>0.271700552880328</v>
      </c>
      <c r="J92" s="10" t="n">
        <v>7.3928482254325</v>
      </c>
      <c r="K92" s="10" t="n">
        <v>25.7230426252898</v>
      </c>
      <c r="L92" s="10" t="n">
        <v>2.16520420902443</v>
      </c>
      <c r="M92" s="10" t="n">
        <v>0.866755840913144</v>
      </c>
      <c r="N92" s="10" t="n">
        <v>10.6695737471018</v>
      </c>
      <c r="O92" s="10" t="n">
        <v>31.9224719101124</v>
      </c>
      <c r="P92" s="11" t="n">
        <v>33.8791540785499</v>
      </c>
      <c r="Q92" s="8" t="n">
        <v>2.74399857321206</v>
      </c>
      <c r="R92" s="8" t="n">
        <v>11.9040485107901</v>
      </c>
      <c r="S92" s="9" t="n">
        <v>4.283</v>
      </c>
      <c r="T92" s="9" t="n">
        <v>0.718</v>
      </c>
    </row>
    <row r="93" customFormat="false" ht="15" hidden="false" customHeight="true" outlineLevel="0" collapsed="false">
      <c r="A93" s="7" t="n">
        <v>1628379</v>
      </c>
      <c r="B93" s="7" t="s">
        <v>134</v>
      </c>
      <c r="C93" s="8" t="n">
        <v>311</v>
      </c>
      <c r="D93" s="8" t="n">
        <v>7386</v>
      </c>
      <c r="E93" s="8" t="n">
        <v>32386</v>
      </c>
      <c r="F93" s="9" t="n">
        <v>1.9</v>
      </c>
      <c r="G93" s="9" t="n">
        <v>0.651871242891958</v>
      </c>
      <c r="H93" s="9" t="n">
        <v>0.646223531004603</v>
      </c>
      <c r="I93" s="9" t="n">
        <v>0.130750880043325</v>
      </c>
      <c r="J93" s="10" t="n">
        <v>6.35415651232061</v>
      </c>
      <c r="K93" s="10" t="n">
        <v>14.2245870565936</v>
      </c>
      <c r="L93" s="10" t="n">
        <v>1.31772271865692</v>
      </c>
      <c r="M93" s="10" t="n">
        <v>0.309233685350663</v>
      </c>
      <c r="N93" s="10" t="n">
        <v>11.1038180341186</v>
      </c>
      <c r="O93" s="10" t="n">
        <v>15.1675467099919</v>
      </c>
      <c r="P93" s="11" t="n">
        <v>23.7491961414791</v>
      </c>
      <c r="Q93" s="8" t="n">
        <v>1.67779582994855</v>
      </c>
      <c r="R93" s="8" t="n">
        <v>10.928378012456</v>
      </c>
      <c r="S93" s="9" t="n">
        <v>2.701</v>
      </c>
      <c r="T93" s="9" t="n">
        <v>-0.801</v>
      </c>
    </row>
    <row r="94" customFormat="false" ht="15" hidden="false" customHeight="true" outlineLevel="0" collapsed="false">
      <c r="A94" s="7" t="n">
        <v>1628380</v>
      </c>
      <c r="B94" s="7" t="s">
        <v>135</v>
      </c>
      <c r="C94" s="8" t="n">
        <v>234</v>
      </c>
      <c r="D94" s="8" t="n">
        <v>4630</v>
      </c>
      <c r="E94" s="8" t="n">
        <v>19403</v>
      </c>
      <c r="F94" s="9" t="n">
        <v>-1.088</v>
      </c>
      <c r="G94" s="9" t="n">
        <v>0.591180561555076</v>
      </c>
      <c r="H94" s="9" t="n">
        <v>0.296142764578834</v>
      </c>
      <c r="I94" s="9" t="n">
        <v>0.279601079913607</v>
      </c>
      <c r="J94" s="10" t="n">
        <v>14.718747300216</v>
      </c>
      <c r="K94" s="10" t="n">
        <v>17.3674298056156</v>
      </c>
      <c r="L94" s="10" t="n">
        <v>1.18142548596112</v>
      </c>
      <c r="M94" s="10" t="n">
        <v>2.8304535637149</v>
      </c>
      <c r="N94" s="10" t="n">
        <v>16.5249460043197</v>
      </c>
      <c r="O94" s="10" t="n">
        <v>20.5169978401728</v>
      </c>
      <c r="P94" s="11" t="n">
        <v>19.7863247863248</v>
      </c>
      <c r="Q94" s="8" t="n">
        <v>9.12691144708423</v>
      </c>
      <c r="R94" s="8" t="n">
        <v>20.4801295896328</v>
      </c>
      <c r="S94" s="9" t="n">
        <v>-1.466</v>
      </c>
      <c r="T94" s="9" t="n">
        <v>0.378</v>
      </c>
    </row>
    <row r="95" customFormat="false" ht="15" hidden="false" customHeight="true" outlineLevel="0" collapsed="false">
      <c r="A95" s="7" t="n">
        <v>1628381</v>
      </c>
      <c r="B95" s="7" t="s">
        <v>136</v>
      </c>
      <c r="C95" s="8" t="n">
        <v>302</v>
      </c>
      <c r="D95" s="8" t="n">
        <v>8786</v>
      </c>
      <c r="E95" s="8" t="n">
        <v>37356</v>
      </c>
      <c r="F95" s="9" t="n">
        <v>-1.606</v>
      </c>
      <c r="G95" s="9" t="n">
        <v>0.617789323924425</v>
      </c>
      <c r="H95" s="9" t="n">
        <v>0.31062645117232</v>
      </c>
      <c r="I95" s="9" t="n">
        <v>0.257106988390621</v>
      </c>
      <c r="J95" s="10" t="n">
        <v>13.5577282039609</v>
      </c>
      <c r="K95" s="10" t="n">
        <v>7.02474391076713</v>
      </c>
      <c r="L95" s="10" t="n">
        <v>1.17302526747098</v>
      </c>
      <c r="M95" s="10" t="n">
        <v>2.88277942180742</v>
      </c>
      <c r="N95" s="10" t="n">
        <v>10.4559412702026</v>
      </c>
      <c r="O95" s="10" t="n">
        <v>19.9548030958343</v>
      </c>
      <c r="P95" s="11" t="n">
        <v>29.0927152317881</v>
      </c>
      <c r="Q95" s="8" t="n">
        <v>6.69801957659913</v>
      </c>
      <c r="R95" s="8" t="n">
        <v>20.3368654677897</v>
      </c>
      <c r="S95" s="9" t="n">
        <v>-1.732</v>
      </c>
      <c r="T95" s="9" t="n">
        <v>0.126</v>
      </c>
    </row>
    <row r="96" customFormat="false" ht="15" hidden="false" customHeight="true" outlineLevel="0" collapsed="false">
      <c r="A96" s="7" t="n">
        <v>1628384</v>
      </c>
      <c r="B96" s="7" t="s">
        <v>137</v>
      </c>
      <c r="C96" s="8" t="n">
        <v>306</v>
      </c>
      <c r="D96" s="8" t="n">
        <v>10746</v>
      </c>
      <c r="E96" s="8" t="n">
        <v>50370</v>
      </c>
      <c r="F96" s="9" t="n">
        <v>1.994</v>
      </c>
      <c r="G96" s="9" t="n">
        <v>0.589771449841802</v>
      </c>
      <c r="H96" s="9" t="n">
        <v>0.456177926670389</v>
      </c>
      <c r="I96" s="9" t="n">
        <v>0.205845337800112</v>
      </c>
      <c r="J96" s="10" t="n">
        <v>7.90081890936162</v>
      </c>
      <c r="K96" s="10" t="n">
        <v>9.01505676530802</v>
      </c>
      <c r="L96" s="10" t="n">
        <v>2.23359389540294</v>
      </c>
      <c r="M96" s="10" t="n">
        <v>1.97943420807742</v>
      </c>
      <c r="N96" s="10" t="n">
        <v>10.6572864321608</v>
      </c>
      <c r="O96" s="10" t="n">
        <v>19.4516285129351</v>
      </c>
      <c r="P96" s="11" t="n">
        <v>35.1176470588235</v>
      </c>
      <c r="Q96" s="8" t="n">
        <v>4.06279545877536</v>
      </c>
      <c r="R96" s="8" t="n">
        <v>11.9348780941746</v>
      </c>
      <c r="S96" s="9" t="n">
        <v>-0.033</v>
      </c>
      <c r="T96" s="9" t="n">
        <v>2.026</v>
      </c>
    </row>
    <row r="97" customFormat="false" ht="15" hidden="false" customHeight="true" outlineLevel="0" collapsed="false">
      <c r="A97" s="7" t="n">
        <v>1628386</v>
      </c>
      <c r="B97" s="7" t="s">
        <v>138</v>
      </c>
      <c r="C97" s="8" t="n">
        <v>339</v>
      </c>
      <c r="D97" s="8" t="n">
        <v>10287</v>
      </c>
      <c r="E97" s="8" t="n">
        <v>45551</v>
      </c>
      <c r="F97" s="9" t="n">
        <v>2.856</v>
      </c>
      <c r="G97" s="9" t="n">
        <v>0.685407115777195</v>
      </c>
      <c r="H97" s="9" t="n">
        <v>0.0128728492271799</v>
      </c>
      <c r="I97" s="9" t="n">
        <v>0.411993778555458</v>
      </c>
      <c r="J97" s="10" t="n">
        <v>18.2322348595315</v>
      </c>
      <c r="K97" s="10" t="n">
        <v>9.74751628268689</v>
      </c>
      <c r="L97" s="10" t="n">
        <v>1.33937007874016</v>
      </c>
      <c r="M97" s="10" t="n">
        <v>3.19398269660737</v>
      </c>
      <c r="N97" s="10" t="n">
        <v>11.4112763682318</v>
      </c>
      <c r="O97" s="10" t="n">
        <v>17.8164965490425</v>
      </c>
      <c r="P97" s="11" t="n">
        <v>30.3451327433628</v>
      </c>
      <c r="Q97" s="8" t="n">
        <v>11.2128025663459</v>
      </c>
      <c r="R97" s="8" t="n">
        <v>25.0315738310489</v>
      </c>
      <c r="S97" s="9" t="n">
        <v>1.253</v>
      </c>
      <c r="T97" s="9" t="n">
        <v>1.603</v>
      </c>
    </row>
    <row r="98" customFormat="false" ht="15" hidden="false" customHeight="true" outlineLevel="0" collapsed="false">
      <c r="A98" s="7" t="n">
        <v>1628389</v>
      </c>
      <c r="B98" s="7" t="s">
        <v>139</v>
      </c>
      <c r="C98" s="8" t="n">
        <v>353</v>
      </c>
      <c r="D98" s="8" t="n">
        <v>11878</v>
      </c>
      <c r="E98" s="8" t="n">
        <v>55024</v>
      </c>
      <c r="F98" s="9" t="n">
        <v>3.969</v>
      </c>
      <c r="G98" s="9" t="n">
        <v>0.576061710725711</v>
      </c>
      <c r="H98" s="9" t="n">
        <v>0.126262417915474</v>
      </c>
      <c r="I98" s="9" t="n">
        <v>0.36793559521805</v>
      </c>
      <c r="J98" s="10" t="n">
        <v>16.2928775888197</v>
      </c>
      <c r="K98" s="10" t="n">
        <v>17.3206432059269</v>
      </c>
      <c r="L98" s="10" t="n">
        <v>1.79933490486614</v>
      </c>
      <c r="M98" s="10" t="n">
        <v>2.25972385923556</v>
      </c>
      <c r="N98" s="10" t="n">
        <v>11.6500841892575</v>
      </c>
      <c r="O98" s="10" t="n">
        <v>24.6857215019364</v>
      </c>
      <c r="P98" s="11" t="n">
        <v>33.6487252124646</v>
      </c>
      <c r="Q98" s="8" t="n">
        <v>7.6193130156592</v>
      </c>
      <c r="R98" s="8" t="n">
        <v>25.0422630072403</v>
      </c>
      <c r="S98" s="9" t="n">
        <v>-0.057</v>
      </c>
      <c r="T98" s="9" t="n">
        <v>4.026</v>
      </c>
    </row>
    <row r="99" customFormat="false" ht="15" hidden="false" customHeight="true" outlineLevel="0" collapsed="false">
      <c r="A99" s="7" t="n">
        <v>1628392</v>
      </c>
      <c r="B99" s="7" t="s">
        <v>140</v>
      </c>
      <c r="C99" s="8" t="n">
        <v>329</v>
      </c>
      <c r="D99" s="8" t="n">
        <v>7465</v>
      </c>
      <c r="E99" s="8" t="n">
        <v>36282</v>
      </c>
      <c r="F99" s="9" t="n">
        <v>3.745</v>
      </c>
      <c r="G99" s="9" t="n">
        <v>0.625524849296718</v>
      </c>
      <c r="H99" s="9" t="n">
        <v>0.0521776289350301</v>
      </c>
      <c r="I99" s="9" t="n">
        <v>0.321325251172137</v>
      </c>
      <c r="J99" s="10" t="n">
        <v>18.6045947756196</v>
      </c>
      <c r="K99" s="10" t="n">
        <v>15.5352310783657</v>
      </c>
      <c r="L99" s="10" t="n">
        <v>1.8612726054923</v>
      </c>
      <c r="M99" s="10" t="n">
        <v>4.05512391158741</v>
      </c>
      <c r="N99" s="10" t="n">
        <v>16.7542263898192</v>
      </c>
      <c r="O99" s="10" t="n">
        <v>14.4938111185533</v>
      </c>
      <c r="P99" s="11" t="n">
        <v>22.6899696048632</v>
      </c>
      <c r="Q99" s="8" t="n">
        <v>13.0787139986604</v>
      </c>
      <c r="R99" s="8" t="n">
        <v>23.9826657736102</v>
      </c>
      <c r="S99" s="9" t="n">
        <v>1.278</v>
      </c>
      <c r="T99" s="9" t="n">
        <v>2.467</v>
      </c>
    </row>
    <row r="100" customFormat="false" ht="15" hidden="false" customHeight="true" outlineLevel="0" collapsed="false">
      <c r="A100" s="7" t="n">
        <v>1628398</v>
      </c>
      <c r="B100" s="7" t="s">
        <v>141</v>
      </c>
      <c r="C100" s="8" t="n">
        <v>334</v>
      </c>
      <c r="D100" s="8" t="n">
        <v>10466</v>
      </c>
      <c r="E100" s="8" t="n">
        <v>43499</v>
      </c>
      <c r="F100" s="9" t="n">
        <v>-3.759</v>
      </c>
      <c r="G100" s="9" t="n">
        <v>0.546120867571183</v>
      </c>
      <c r="H100" s="9" t="n">
        <v>0.377400343970954</v>
      </c>
      <c r="I100" s="9" t="n">
        <v>0.224274699025416</v>
      </c>
      <c r="J100" s="10" t="n">
        <v>11.3829352188037</v>
      </c>
      <c r="K100" s="10" t="n">
        <v>16.3867762277852</v>
      </c>
      <c r="L100" s="10" t="n">
        <v>0.925836040512134</v>
      </c>
      <c r="M100" s="10" t="n">
        <v>1.51623351805848</v>
      </c>
      <c r="N100" s="10" t="n">
        <v>13.1962067647621</v>
      </c>
      <c r="O100" s="10" t="n">
        <v>25.7390980317218</v>
      </c>
      <c r="P100" s="11" t="n">
        <v>31.3353293413174</v>
      </c>
      <c r="Q100" s="8" t="n">
        <v>3.14351232562584</v>
      </c>
      <c r="R100" s="8" t="n">
        <v>19.4020638257214</v>
      </c>
      <c r="S100" s="9" t="n">
        <v>-2.327</v>
      </c>
      <c r="T100" s="9" t="n">
        <v>-1.432</v>
      </c>
    </row>
    <row r="101" customFormat="false" ht="15" hidden="false" customHeight="true" outlineLevel="0" collapsed="false">
      <c r="A101" s="7" t="n">
        <v>1628401</v>
      </c>
      <c r="B101" s="7" t="s">
        <v>142</v>
      </c>
      <c r="C101" s="8" t="n">
        <v>383</v>
      </c>
      <c r="D101" s="8" t="n">
        <v>12098</v>
      </c>
      <c r="E101" s="8" t="n">
        <v>58704</v>
      </c>
      <c r="F101" s="9" t="n">
        <v>4.208</v>
      </c>
      <c r="G101" s="9" t="n">
        <v>0.579532732683088</v>
      </c>
      <c r="H101" s="9" t="n">
        <v>0.577635724913209</v>
      </c>
      <c r="I101" s="9" t="n">
        <v>0.213225822449992</v>
      </c>
      <c r="J101" s="10" t="n">
        <v>6.91784592494627</v>
      </c>
      <c r="K101" s="10" t="n">
        <v>21.1681848239378</v>
      </c>
      <c r="L101" s="10" t="n">
        <v>1.4272689700777</v>
      </c>
      <c r="M101" s="10" t="n">
        <v>3.0260952223508</v>
      </c>
      <c r="N101" s="10" t="n">
        <v>10.8050917507026</v>
      </c>
      <c r="O101" s="10" t="n">
        <v>19.6568193089767</v>
      </c>
      <c r="P101" s="11" t="n">
        <v>31.5874673629243</v>
      </c>
      <c r="Q101" s="8" t="n">
        <v>2.67728550173582</v>
      </c>
      <c r="R101" s="8" t="n">
        <v>11.0190444701604</v>
      </c>
      <c r="S101" s="9" t="n">
        <v>1.04</v>
      </c>
      <c r="T101" s="9" t="n">
        <v>3.168</v>
      </c>
    </row>
    <row r="102" customFormat="false" ht="15" hidden="false" customHeight="true" outlineLevel="0" collapsed="false">
      <c r="A102" s="7" t="n">
        <v>1628404</v>
      </c>
      <c r="B102" s="7" t="s">
        <v>143</v>
      </c>
      <c r="C102" s="8" t="n">
        <v>354</v>
      </c>
      <c r="D102" s="8" t="n">
        <v>11843</v>
      </c>
      <c r="E102" s="8" t="n">
        <v>55793</v>
      </c>
      <c r="F102" s="9" t="n">
        <v>1.205</v>
      </c>
      <c r="G102" s="9" t="n">
        <v>0.592953390188297</v>
      </c>
      <c r="H102" s="9" t="n">
        <v>0.357541923499113</v>
      </c>
      <c r="I102" s="9" t="n">
        <v>0.265366207886515</v>
      </c>
      <c r="J102" s="10" t="n">
        <v>13.7148019927383</v>
      </c>
      <c r="K102" s="10" t="n">
        <v>18.620425567846</v>
      </c>
      <c r="L102" s="10" t="n">
        <v>1.75920797095331</v>
      </c>
      <c r="M102" s="10" t="n">
        <v>0.826175800050663</v>
      </c>
      <c r="N102" s="10" t="n">
        <v>15.3681584058093</v>
      </c>
      <c r="O102" s="10" t="n">
        <v>15.0638689521236</v>
      </c>
      <c r="P102" s="11" t="n">
        <v>33.454802259887</v>
      </c>
      <c r="Q102" s="8" t="n">
        <v>5.55892932533986</v>
      </c>
      <c r="R102" s="8" t="n">
        <v>21.9426581102761</v>
      </c>
      <c r="S102" s="9" t="n">
        <v>1.057</v>
      </c>
      <c r="T102" s="9" t="n">
        <v>0.148</v>
      </c>
    </row>
    <row r="103" customFormat="false" ht="15" hidden="false" customHeight="true" outlineLevel="0" collapsed="false">
      <c r="A103" s="7" t="n">
        <v>1628415</v>
      </c>
      <c r="B103" s="7" t="s">
        <v>144</v>
      </c>
      <c r="C103" s="8" t="n">
        <v>308</v>
      </c>
      <c r="D103" s="8" t="n">
        <v>9416</v>
      </c>
      <c r="E103" s="8" t="n">
        <v>42235</v>
      </c>
      <c r="F103" s="9" t="n">
        <v>1.789</v>
      </c>
      <c r="G103" s="9" t="n">
        <v>0.532766992353441</v>
      </c>
      <c r="H103" s="9" t="n">
        <v>0.447244371282923</v>
      </c>
      <c r="I103" s="9" t="n">
        <v>0.172982051826678</v>
      </c>
      <c r="J103" s="10" t="n">
        <v>6.06313721325404</v>
      </c>
      <c r="K103" s="10" t="n">
        <v>9.58429269328802</v>
      </c>
      <c r="L103" s="10" t="n">
        <v>1.45049915038233</v>
      </c>
      <c r="M103" s="10" t="n">
        <v>0.576932880203908</v>
      </c>
      <c r="N103" s="10" t="n">
        <v>8.54632540356839</v>
      </c>
      <c r="O103" s="10" t="n">
        <v>21.6539082412914</v>
      </c>
      <c r="P103" s="11" t="n">
        <v>30.5714285714286</v>
      </c>
      <c r="Q103" s="8" t="n">
        <v>2.75309048428207</v>
      </c>
      <c r="R103" s="8" t="n">
        <v>9.54409515717927</v>
      </c>
      <c r="S103" s="9" t="n">
        <v>-0.309</v>
      </c>
      <c r="T103" s="9" t="n">
        <v>2.098</v>
      </c>
    </row>
    <row r="104" customFormat="false" ht="15" hidden="false" customHeight="true" outlineLevel="0" collapsed="false">
      <c r="A104" s="7" t="n">
        <v>1628418</v>
      </c>
      <c r="B104" s="7" t="s">
        <v>145</v>
      </c>
      <c r="C104" s="8" t="n">
        <v>250</v>
      </c>
      <c r="D104" s="8" t="n">
        <v>3656</v>
      </c>
      <c r="E104" s="8" t="n">
        <v>16058</v>
      </c>
      <c r="F104" s="9" t="n">
        <v>-2.133</v>
      </c>
      <c r="G104" s="9" t="n">
        <v>0.638483588621444</v>
      </c>
      <c r="H104" s="9" t="n">
        <v>0.31899863238512</v>
      </c>
      <c r="I104" s="9" t="n">
        <v>0.273114606126915</v>
      </c>
      <c r="J104" s="10" t="n">
        <v>15.7455689277899</v>
      </c>
      <c r="K104" s="10" t="n">
        <v>6.48443654266958</v>
      </c>
      <c r="L104" s="10" t="n">
        <v>1.03274070021882</v>
      </c>
      <c r="M104" s="10" t="n">
        <v>3.33213894967177</v>
      </c>
      <c r="N104" s="10" t="n">
        <v>8.79097374179431</v>
      </c>
      <c r="O104" s="10" t="n">
        <v>18.1830689277899</v>
      </c>
      <c r="P104" s="11" t="n">
        <v>14.624</v>
      </c>
      <c r="Q104" s="8" t="n">
        <v>9.00336433260394</v>
      </c>
      <c r="R104" s="8" t="n">
        <v>22.3257111597374</v>
      </c>
      <c r="S104" s="9" t="n">
        <v>-1.803</v>
      </c>
      <c r="T104" s="9" t="n">
        <v>-0.33</v>
      </c>
    </row>
    <row r="105" customFormat="false" ht="15" hidden="false" customHeight="true" outlineLevel="0" collapsed="false">
      <c r="A105" s="7" t="n">
        <v>1628420</v>
      </c>
      <c r="B105" s="7" t="s">
        <v>146</v>
      </c>
      <c r="C105" s="8" t="n">
        <v>221</v>
      </c>
      <c r="D105" s="8" t="n">
        <v>5046</v>
      </c>
      <c r="E105" s="8" t="n">
        <v>21215</v>
      </c>
      <c r="F105" s="9" t="n">
        <v>0.933</v>
      </c>
      <c r="G105" s="9" t="n">
        <v>0.568217598097503</v>
      </c>
      <c r="H105" s="9" t="n">
        <v>0.411429449068569</v>
      </c>
      <c r="I105" s="9" t="n">
        <v>0.137354340071344</v>
      </c>
      <c r="J105" s="10" t="n">
        <v>6.25558858501784</v>
      </c>
      <c r="K105" s="10" t="n">
        <v>22.5392786365438</v>
      </c>
      <c r="L105" s="10" t="n">
        <v>1.32560443915973</v>
      </c>
      <c r="M105" s="10" t="n">
        <v>0.701466508125248</v>
      </c>
      <c r="N105" s="10" t="n">
        <v>8.7530519223147</v>
      </c>
      <c r="O105" s="10" t="n">
        <v>16.6708680142687</v>
      </c>
      <c r="P105" s="11" t="n">
        <v>22.8325791855204</v>
      </c>
      <c r="Q105" s="8" t="n">
        <v>1.67839873166865</v>
      </c>
      <c r="R105" s="8" t="n">
        <v>10.5619104240983</v>
      </c>
      <c r="S105" s="9" t="n">
        <v>1.275</v>
      </c>
      <c r="T105" s="9" t="n">
        <v>-0.342</v>
      </c>
    </row>
    <row r="106" customFormat="false" ht="15" hidden="false" customHeight="true" outlineLevel="0" collapsed="false">
      <c r="A106" s="7" t="n">
        <v>1628436</v>
      </c>
      <c r="B106" s="7" t="s">
        <v>147</v>
      </c>
      <c r="C106" s="8" t="n">
        <v>288</v>
      </c>
      <c r="D106" s="8" t="n">
        <v>4681</v>
      </c>
      <c r="E106" s="8" t="n">
        <v>21440</v>
      </c>
      <c r="F106" s="9" t="n">
        <v>1.735</v>
      </c>
      <c r="G106" s="9" t="n">
        <v>0.694472762230293</v>
      </c>
      <c r="H106" s="9" t="n">
        <v>0.0213725699636829</v>
      </c>
      <c r="I106" s="9" t="n">
        <v>0.32867677846614</v>
      </c>
      <c r="J106" s="10" t="n">
        <v>14.8807092501602</v>
      </c>
      <c r="K106" s="10" t="n">
        <v>10.6167912839137</v>
      </c>
      <c r="L106" s="10" t="n">
        <v>1.11704763939329</v>
      </c>
      <c r="M106" s="10" t="n">
        <v>4.67137363811152</v>
      </c>
      <c r="N106" s="10" t="n">
        <v>8.81424909207434</v>
      </c>
      <c r="O106" s="10" t="n">
        <v>11.025742362743</v>
      </c>
      <c r="P106" s="11" t="n">
        <v>16.2534722222222</v>
      </c>
      <c r="Q106" s="8" t="n">
        <v>13.8832087160863</v>
      </c>
      <c r="R106" s="8" t="n">
        <v>15.8610339671011</v>
      </c>
      <c r="S106" s="9" t="n">
        <v>0.211</v>
      </c>
      <c r="T106" s="9" t="n">
        <v>1.524</v>
      </c>
    </row>
    <row r="107" customFormat="false" ht="15" hidden="false" customHeight="true" outlineLevel="0" collapsed="false">
      <c r="A107" s="7" t="n">
        <v>1628449</v>
      </c>
      <c r="B107" s="7" t="s">
        <v>148</v>
      </c>
      <c r="C107" s="8" t="n">
        <v>265</v>
      </c>
      <c r="D107" s="8" t="n">
        <v>4874</v>
      </c>
      <c r="E107" s="8" t="n">
        <v>19901</v>
      </c>
      <c r="F107" s="9" t="n">
        <v>2.529</v>
      </c>
      <c r="G107" s="9" t="n">
        <v>0.588730611407468</v>
      </c>
      <c r="H107" s="9" t="n">
        <v>0.415730406237177</v>
      </c>
      <c r="I107" s="9" t="n">
        <v>0.321153877718506</v>
      </c>
      <c r="J107" s="10" t="n">
        <v>15.3739023389413</v>
      </c>
      <c r="K107" s="10" t="n">
        <v>3.37800574476816</v>
      </c>
      <c r="L107" s="10" t="n">
        <v>1.38077554370127</v>
      </c>
      <c r="M107" s="10" t="n">
        <v>3.84589659417316</v>
      </c>
      <c r="N107" s="10" t="n">
        <v>6.73446860894543</v>
      </c>
      <c r="O107" s="10" t="n">
        <v>18.2950553959787</v>
      </c>
      <c r="P107" s="11" t="n">
        <v>18.3924528301887</v>
      </c>
      <c r="Q107" s="8" t="n">
        <v>10.1091095609356</v>
      </c>
      <c r="R107" s="8" t="n">
        <v>21.1705990972507</v>
      </c>
      <c r="S107" s="9" t="n">
        <v>1.366</v>
      </c>
      <c r="T107" s="9" t="n">
        <v>1.164</v>
      </c>
    </row>
    <row r="108" customFormat="false" ht="15" hidden="false" customHeight="true" outlineLevel="0" collapsed="false">
      <c r="A108" s="7" t="n">
        <v>1628467</v>
      </c>
      <c r="B108" s="7" t="s">
        <v>149</v>
      </c>
      <c r="C108" s="8" t="n">
        <v>216</v>
      </c>
      <c r="D108" s="8" t="n">
        <v>4349</v>
      </c>
      <c r="E108" s="8" t="n">
        <v>20226</v>
      </c>
      <c r="F108" s="9" t="n">
        <v>-1.245</v>
      </c>
      <c r="G108" s="9" t="n">
        <v>0.545972637387905</v>
      </c>
      <c r="H108" s="9" t="n">
        <v>0.620442860427685</v>
      </c>
      <c r="I108" s="9" t="n">
        <v>0.243764313635318</v>
      </c>
      <c r="J108" s="10" t="n">
        <v>10.387077489078</v>
      </c>
      <c r="K108" s="10" t="n">
        <v>7.6631179581513</v>
      </c>
      <c r="L108" s="10" t="n">
        <v>0.94589560818579</v>
      </c>
      <c r="M108" s="10" t="n">
        <v>2.99133134053806</v>
      </c>
      <c r="N108" s="10" t="n">
        <v>13.6365831225569</v>
      </c>
      <c r="O108" s="10" t="n">
        <v>10.8514830995631</v>
      </c>
      <c r="P108" s="11" t="n">
        <v>20.1342592592593</v>
      </c>
      <c r="Q108" s="8" t="n">
        <v>5.0041618762934</v>
      </c>
      <c r="R108" s="8" t="n">
        <v>15.8008277765003</v>
      </c>
      <c r="S108" s="9" t="n">
        <v>-2.115</v>
      </c>
      <c r="T108" s="9" t="n">
        <v>0.87</v>
      </c>
    </row>
    <row r="109" customFormat="false" ht="15" hidden="false" customHeight="true" outlineLevel="0" collapsed="false">
      <c r="A109" s="7" t="n">
        <v>1628960</v>
      </c>
      <c r="B109" s="7" t="s">
        <v>150</v>
      </c>
      <c r="C109" s="8" t="n">
        <v>328</v>
      </c>
      <c r="D109" s="8" t="n">
        <v>9301</v>
      </c>
      <c r="E109" s="8" t="n">
        <v>40529</v>
      </c>
      <c r="F109" s="9" t="n">
        <v>-0.816</v>
      </c>
      <c r="G109" s="9" t="n">
        <v>0.625734437157295</v>
      </c>
      <c r="H109" s="9" t="n">
        <v>0.674626169229115</v>
      </c>
      <c r="I109" s="9" t="n">
        <v>0.209930760133319</v>
      </c>
      <c r="J109" s="10" t="n">
        <v>6.47298139984948</v>
      </c>
      <c r="K109" s="10" t="n">
        <v>12.2689388237824</v>
      </c>
      <c r="L109" s="10" t="n">
        <v>1.54712396516504</v>
      </c>
      <c r="M109" s="10" t="n">
        <v>1.07895925169337</v>
      </c>
      <c r="N109" s="10" t="n">
        <v>10.1978174389851</v>
      </c>
      <c r="O109" s="10" t="n">
        <v>16.6385012364262</v>
      </c>
      <c r="P109" s="11" t="n">
        <v>28.3567073170732</v>
      </c>
      <c r="Q109" s="8" t="n">
        <v>2.55188689388238</v>
      </c>
      <c r="R109" s="8" t="n">
        <v>10.2143747984088</v>
      </c>
      <c r="S109" s="9" t="n">
        <v>-0.036</v>
      </c>
      <c r="T109" s="9" t="n">
        <v>-0.78</v>
      </c>
    </row>
    <row r="110" customFormat="false" ht="15" hidden="false" customHeight="true" outlineLevel="0" collapsed="false">
      <c r="A110" s="7" t="n">
        <v>1628963</v>
      </c>
      <c r="B110" s="7" t="s">
        <v>151</v>
      </c>
      <c r="C110" s="8" t="n">
        <v>231</v>
      </c>
      <c r="D110" s="8" t="n">
        <v>4662</v>
      </c>
      <c r="E110" s="8" t="n">
        <v>19120</v>
      </c>
      <c r="F110" s="9" t="n">
        <v>-1.832</v>
      </c>
      <c r="G110" s="9" t="n">
        <v>0.605111754611755</v>
      </c>
      <c r="H110" s="9" t="n">
        <v>0.14594616044616</v>
      </c>
      <c r="I110" s="9" t="n">
        <v>0.294707207207207</v>
      </c>
      <c r="J110" s="10" t="n">
        <v>15.9428571428571</v>
      </c>
      <c r="K110" s="10" t="n">
        <v>7.52020592020592</v>
      </c>
      <c r="L110" s="10" t="n">
        <v>0.991312741312741</v>
      </c>
      <c r="M110" s="10" t="n">
        <v>2.45894465894466</v>
      </c>
      <c r="N110" s="10" t="n">
        <v>9.89071214071214</v>
      </c>
      <c r="O110" s="10" t="n">
        <v>19.9518447018447</v>
      </c>
      <c r="P110" s="11" t="n">
        <v>20.1818181818182</v>
      </c>
      <c r="Q110" s="8" t="n">
        <v>11.7770484770485</v>
      </c>
      <c r="R110" s="8" t="n">
        <v>20.2468897468897</v>
      </c>
      <c r="S110" s="9" t="n">
        <v>-0.985</v>
      </c>
      <c r="T110" s="9" t="n">
        <v>-0.848</v>
      </c>
    </row>
    <row r="111" customFormat="false" ht="15" hidden="false" customHeight="true" outlineLevel="0" collapsed="false">
      <c r="A111" s="7" t="n">
        <v>1628964</v>
      </c>
      <c r="B111" s="7" t="s">
        <v>152</v>
      </c>
      <c r="C111" s="8" t="n">
        <v>213</v>
      </c>
      <c r="D111" s="8" t="n">
        <v>3790</v>
      </c>
      <c r="E111" s="8" t="n">
        <v>15379</v>
      </c>
      <c r="F111" s="9" t="n">
        <v>-3.566</v>
      </c>
      <c r="G111" s="9" t="n">
        <v>0.580492612137203</v>
      </c>
      <c r="H111" s="9" t="n">
        <v>0.439060949868074</v>
      </c>
      <c r="I111" s="9" t="n">
        <v>0.184595778364116</v>
      </c>
      <c r="J111" s="10" t="n">
        <v>17.2053034300792</v>
      </c>
      <c r="K111" s="10" t="n">
        <v>7.49918205804749</v>
      </c>
      <c r="L111" s="10" t="n">
        <v>1.05633245382586</v>
      </c>
      <c r="M111" s="10" t="n">
        <v>6.24271767810027</v>
      </c>
      <c r="N111" s="10" t="n">
        <v>11.7925065963061</v>
      </c>
      <c r="O111" s="10" t="n">
        <v>16.3922427440633</v>
      </c>
      <c r="P111" s="11" t="n">
        <v>17.793427230047</v>
      </c>
      <c r="Q111" s="8" t="n">
        <v>9.26050131926121</v>
      </c>
      <c r="R111" s="8" t="n">
        <v>25.2084168865435</v>
      </c>
      <c r="S111" s="9" t="n">
        <v>-3.318</v>
      </c>
      <c r="T111" s="9" t="n">
        <v>-0.248</v>
      </c>
    </row>
    <row r="112" customFormat="false" ht="15" hidden="false" customHeight="true" outlineLevel="0" collapsed="false">
      <c r="A112" s="7" t="n">
        <v>1628969</v>
      </c>
      <c r="B112" s="7" t="s">
        <v>153</v>
      </c>
      <c r="C112" s="8" t="n">
        <v>411</v>
      </c>
      <c r="D112" s="8" t="n">
        <v>14399</v>
      </c>
      <c r="E112" s="8" t="n">
        <v>65937</v>
      </c>
      <c r="F112" s="9" t="n">
        <v>2.88</v>
      </c>
      <c r="G112" s="9" t="n">
        <v>0.589155010764637</v>
      </c>
      <c r="H112" s="9" t="n">
        <v>0.398500520869505</v>
      </c>
      <c r="I112" s="9" t="n">
        <v>0.18239968053337</v>
      </c>
      <c r="J112" s="10" t="n">
        <v>6.34330161816793</v>
      </c>
      <c r="K112" s="10" t="n">
        <v>13.7832002222377</v>
      </c>
      <c r="L112" s="10" t="n">
        <v>1.53022432113341</v>
      </c>
      <c r="M112" s="10" t="n">
        <v>1.48961733453712</v>
      </c>
      <c r="N112" s="10" t="n">
        <v>8.54284325300368</v>
      </c>
      <c r="O112" s="10" t="n">
        <v>19.807153274533</v>
      </c>
      <c r="P112" s="11" t="n">
        <v>35.0340632603406</v>
      </c>
      <c r="Q112" s="8" t="n">
        <v>2.85333009236753</v>
      </c>
      <c r="R112" s="8" t="n">
        <v>9.87240780609765</v>
      </c>
      <c r="S112" s="9" t="n">
        <v>1.55</v>
      </c>
      <c r="T112" s="9" t="n">
        <v>1.331</v>
      </c>
    </row>
    <row r="113" customFormat="false" ht="15" hidden="false" customHeight="true" outlineLevel="0" collapsed="false">
      <c r="A113" s="7" t="n">
        <v>1628971</v>
      </c>
      <c r="B113" s="7" t="s">
        <v>154</v>
      </c>
      <c r="C113" s="8" t="n">
        <v>342</v>
      </c>
      <c r="D113" s="8" t="n">
        <v>8840</v>
      </c>
      <c r="E113" s="8" t="n">
        <v>39158</v>
      </c>
      <c r="F113" s="9" t="n">
        <v>-2.68</v>
      </c>
      <c r="G113" s="9" t="n">
        <v>0.56109185520362</v>
      </c>
      <c r="H113" s="9" t="n">
        <v>0.276833936651584</v>
      </c>
      <c r="I113" s="9" t="n">
        <v>0.231780995475113</v>
      </c>
      <c r="J113" s="10" t="n">
        <v>9.07497737556561</v>
      </c>
      <c r="K113" s="10" t="n">
        <v>13.0324886877828</v>
      </c>
      <c r="L113" s="10" t="n">
        <v>1.89047511312217</v>
      </c>
      <c r="M113" s="10" t="n">
        <v>1.51418552036199</v>
      </c>
      <c r="N113" s="10" t="n">
        <v>11.8800678733032</v>
      </c>
      <c r="O113" s="10" t="n">
        <v>16.1552488687783</v>
      </c>
      <c r="P113" s="11" t="n">
        <v>25.8479532163743</v>
      </c>
      <c r="Q113" s="8" t="n">
        <v>4.36920814479638</v>
      </c>
      <c r="R113" s="8" t="n">
        <v>13.6373981900453</v>
      </c>
      <c r="S113" s="9" t="n">
        <v>-1.056</v>
      </c>
      <c r="T113" s="9" t="n">
        <v>-1.625</v>
      </c>
    </row>
    <row r="114" customFormat="false" ht="15" hidden="false" customHeight="true" outlineLevel="0" collapsed="false">
      <c r="A114" s="7" t="n">
        <v>1628973</v>
      </c>
      <c r="B114" s="7" t="s">
        <v>155</v>
      </c>
      <c r="C114" s="8" t="n">
        <v>363</v>
      </c>
      <c r="D114" s="8" t="n">
        <v>12520</v>
      </c>
      <c r="E114" s="8" t="n">
        <v>61179</v>
      </c>
      <c r="F114" s="9" t="n">
        <v>2.886</v>
      </c>
      <c r="G114" s="9" t="n">
        <v>0.59104249201278</v>
      </c>
      <c r="H114" s="9" t="n">
        <v>0.305862300319489</v>
      </c>
      <c r="I114" s="9" t="n">
        <v>0.298127076677316</v>
      </c>
      <c r="J114" s="10" t="n">
        <v>5.63622204472843</v>
      </c>
      <c r="K114" s="10" t="n">
        <v>30.057571884984</v>
      </c>
      <c r="L114" s="10" t="n">
        <v>1.25862619808307</v>
      </c>
      <c r="M114" s="10" t="n">
        <v>0.338458466453674</v>
      </c>
      <c r="N114" s="10" t="n">
        <v>9.69865015974441</v>
      </c>
      <c r="O114" s="10" t="n">
        <v>28.3701996805112</v>
      </c>
      <c r="P114" s="11" t="n">
        <v>34.4903581267218</v>
      </c>
      <c r="Q114" s="8" t="n">
        <v>1.64321086261981</v>
      </c>
      <c r="R114" s="8" t="n">
        <v>9.63431309904154</v>
      </c>
      <c r="S114" s="9" t="n">
        <v>4.45</v>
      </c>
      <c r="T114" s="9" t="n">
        <v>-1.564</v>
      </c>
    </row>
    <row r="115" customFormat="false" ht="15" hidden="false" customHeight="true" outlineLevel="0" collapsed="false">
      <c r="A115" s="7" t="n">
        <v>1628975</v>
      </c>
      <c r="B115" s="7" t="s">
        <v>156</v>
      </c>
      <c r="C115" s="8" t="n">
        <v>308</v>
      </c>
      <c r="D115" s="8" t="n">
        <v>4907</v>
      </c>
      <c r="E115" s="8" t="n">
        <v>21031</v>
      </c>
      <c r="F115" s="9" t="n">
        <v>0.074</v>
      </c>
      <c r="G115" s="9" t="n">
        <v>0.53190605257795</v>
      </c>
      <c r="H115" s="9" t="n">
        <v>0.645645608314653</v>
      </c>
      <c r="I115" s="9" t="n">
        <v>0.0570986346036274</v>
      </c>
      <c r="J115" s="10" t="n">
        <v>5.43994293865906</v>
      </c>
      <c r="K115" s="10" t="n">
        <v>14.1686977786835</v>
      </c>
      <c r="L115" s="10" t="n">
        <v>1.7481149378439</v>
      </c>
      <c r="M115" s="10" t="n">
        <v>1.29411045445282</v>
      </c>
      <c r="N115" s="10" t="n">
        <v>10.5415325045853</v>
      </c>
      <c r="O115" s="10" t="n">
        <v>16.2245363766049</v>
      </c>
      <c r="P115" s="11" t="n">
        <v>15.9318181818182</v>
      </c>
      <c r="Q115" s="8" t="n">
        <v>1.73674342775627</v>
      </c>
      <c r="R115" s="8" t="n">
        <v>9.07067454656613</v>
      </c>
      <c r="S115" s="9" t="n">
        <v>-0.989</v>
      </c>
      <c r="T115" s="9" t="n">
        <v>1.063</v>
      </c>
    </row>
    <row r="116" customFormat="false" ht="15" hidden="false" customHeight="true" outlineLevel="0" collapsed="false">
      <c r="A116" s="7" t="n">
        <v>1628976</v>
      </c>
      <c r="B116" s="7" t="s">
        <v>157</v>
      </c>
      <c r="C116" s="8" t="n">
        <v>320</v>
      </c>
      <c r="D116" s="8" t="n">
        <v>8994</v>
      </c>
      <c r="E116" s="8" t="n">
        <v>39041</v>
      </c>
      <c r="F116" s="9" t="n">
        <v>0.211</v>
      </c>
      <c r="G116" s="9" t="n">
        <v>0.601126084056037</v>
      </c>
      <c r="H116" s="9" t="n">
        <v>0.349503446742273</v>
      </c>
      <c r="I116" s="9" t="n">
        <v>0.340694907716255</v>
      </c>
      <c r="J116" s="10" t="n">
        <v>16.1285523682455</v>
      </c>
      <c r="K116" s="10" t="n">
        <v>11.6381142984212</v>
      </c>
      <c r="L116" s="10" t="n">
        <v>1.1659328441183</v>
      </c>
      <c r="M116" s="10" t="n">
        <v>1.99982210362464</v>
      </c>
      <c r="N116" s="10" t="n">
        <v>12.4284634200578</v>
      </c>
      <c r="O116" s="10" t="n">
        <v>17.940382477207</v>
      </c>
      <c r="P116" s="11" t="n">
        <v>28.10625</v>
      </c>
      <c r="Q116" s="8" t="n">
        <v>8.4054036024016</v>
      </c>
      <c r="R116" s="8" t="n">
        <v>24.083566822326</v>
      </c>
      <c r="S116" s="9" t="n">
        <v>-1.78</v>
      </c>
      <c r="T116" s="9" t="n">
        <v>1.991</v>
      </c>
    </row>
    <row r="117" customFormat="false" ht="15" hidden="false" customHeight="true" outlineLevel="0" collapsed="false">
      <c r="A117" s="7" t="n">
        <v>1628978</v>
      </c>
      <c r="B117" s="7" t="s">
        <v>158</v>
      </c>
      <c r="C117" s="8" t="n">
        <v>339</v>
      </c>
      <c r="D117" s="8" t="n">
        <v>9360</v>
      </c>
      <c r="E117" s="8" t="n">
        <v>43266</v>
      </c>
      <c r="F117" s="9" t="n">
        <v>-0.237</v>
      </c>
      <c r="G117" s="9" t="n">
        <v>0.57627264957265</v>
      </c>
      <c r="H117" s="9" t="n">
        <v>0.720632692307692</v>
      </c>
      <c r="I117" s="9" t="n">
        <v>0.133559401709402</v>
      </c>
      <c r="J117" s="10" t="n">
        <v>7.9975641025641</v>
      </c>
      <c r="K117" s="10" t="n">
        <v>16.6276923076923</v>
      </c>
      <c r="L117" s="10" t="n">
        <v>2.22314102564103</v>
      </c>
      <c r="M117" s="10" t="n">
        <v>1.0207264957265</v>
      </c>
      <c r="N117" s="10" t="n">
        <v>13.0173931623932</v>
      </c>
      <c r="O117" s="10" t="n">
        <v>18.2890811965812</v>
      </c>
      <c r="P117" s="11" t="n">
        <v>27.6106194690266</v>
      </c>
      <c r="Q117" s="8" t="n">
        <v>3.34645299145299</v>
      </c>
      <c r="R117" s="8" t="n">
        <v>12.5344230769231</v>
      </c>
      <c r="S117" s="9" t="n">
        <v>0.334</v>
      </c>
      <c r="T117" s="9" t="n">
        <v>-0.57</v>
      </c>
    </row>
    <row r="118" customFormat="false" ht="15" hidden="false" customHeight="true" outlineLevel="0" collapsed="false">
      <c r="A118" s="7" t="n">
        <v>1628983</v>
      </c>
      <c r="B118" s="7" t="s">
        <v>159</v>
      </c>
      <c r="C118" s="8" t="n">
        <v>343</v>
      </c>
      <c r="D118" s="8" t="n">
        <v>11768</v>
      </c>
      <c r="E118" s="8" t="n">
        <v>56433</v>
      </c>
      <c r="F118" s="9" t="n">
        <v>8.395</v>
      </c>
      <c r="G118" s="9" t="n">
        <v>0.626697739632903</v>
      </c>
      <c r="H118" s="9" t="n">
        <v>0.212295802175391</v>
      </c>
      <c r="I118" s="9" t="n">
        <v>0.446411029911625</v>
      </c>
      <c r="J118" s="10" t="n">
        <v>7.75979775662814</v>
      </c>
      <c r="K118" s="10" t="n">
        <v>30.5021414004079</v>
      </c>
      <c r="L118" s="10" t="n">
        <v>2.2699184228416</v>
      </c>
      <c r="M118" s="10" t="n">
        <v>2.50079027872196</v>
      </c>
      <c r="N118" s="10" t="n">
        <v>9.29632053025153</v>
      </c>
      <c r="O118" s="10" t="n">
        <v>33.0266655336506</v>
      </c>
      <c r="P118" s="11" t="n">
        <v>34.3090379008746</v>
      </c>
      <c r="Q118" s="8" t="n">
        <v>2.48104180829368</v>
      </c>
      <c r="R118" s="8" t="n">
        <v>12.8667063222298</v>
      </c>
      <c r="S118" s="9" t="n">
        <v>7.208</v>
      </c>
      <c r="T118" s="9" t="n">
        <v>1.187</v>
      </c>
    </row>
    <row r="119" customFormat="false" ht="15" hidden="false" customHeight="true" outlineLevel="0" collapsed="false">
      <c r="A119" s="7" t="n">
        <v>1628988</v>
      </c>
      <c r="B119" s="7" t="s">
        <v>160</v>
      </c>
      <c r="C119" s="8" t="n">
        <v>323</v>
      </c>
      <c r="D119" s="8" t="n">
        <v>4708</v>
      </c>
      <c r="E119" s="8" t="n">
        <v>19794</v>
      </c>
      <c r="F119" s="9" t="n">
        <v>1.057</v>
      </c>
      <c r="G119" s="9" t="n">
        <v>0.564344095157179</v>
      </c>
      <c r="H119" s="9" t="n">
        <v>0.503623619371283</v>
      </c>
      <c r="I119" s="9" t="n">
        <v>0.163093457943925</v>
      </c>
      <c r="J119" s="10" t="n">
        <v>5.22765505522515</v>
      </c>
      <c r="K119" s="10" t="n">
        <v>15.0709643160578</v>
      </c>
      <c r="L119" s="10" t="n">
        <v>1.72578589634664</v>
      </c>
      <c r="M119" s="10" t="n">
        <v>0.776401869158878</v>
      </c>
      <c r="N119" s="10" t="n">
        <v>12.5589634664401</v>
      </c>
      <c r="O119" s="10" t="n">
        <v>16.5416737468139</v>
      </c>
      <c r="P119" s="11" t="n">
        <v>14.5758513931889</v>
      </c>
      <c r="Q119" s="8" t="n">
        <v>2.25148683092608</v>
      </c>
      <c r="R119" s="8" t="n">
        <v>8.21578164825829</v>
      </c>
      <c r="S119" s="9" t="n">
        <v>-0.852</v>
      </c>
      <c r="T119" s="9" t="n">
        <v>1.909</v>
      </c>
    </row>
    <row r="120" customFormat="false" ht="15" hidden="false" customHeight="true" outlineLevel="0" collapsed="false">
      <c r="A120" s="7" t="n">
        <v>1628989</v>
      </c>
      <c r="B120" s="7" t="s">
        <v>161</v>
      </c>
      <c r="C120" s="8" t="n">
        <v>351</v>
      </c>
      <c r="D120" s="8" t="n">
        <v>9181</v>
      </c>
      <c r="E120" s="8" t="n">
        <v>39547</v>
      </c>
      <c r="F120" s="9" t="n">
        <v>2.732</v>
      </c>
      <c r="G120" s="9" t="n">
        <v>0.572465199869295</v>
      </c>
      <c r="H120" s="9" t="n">
        <v>0.584146716044004</v>
      </c>
      <c r="I120" s="9" t="n">
        <v>0.101620193878662</v>
      </c>
      <c r="J120" s="10" t="n">
        <v>7.08850887702865</v>
      </c>
      <c r="K120" s="10" t="n">
        <v>13.9996732382093</v>
      </c>
      <c r="L120" s="10" t="n">
        <v>1.60011981265657</v>
      </c>
      <c r="M120" s="10" t="n">
        <v>1.28158152706677</v>
      </c>
      <c r="N120" s="10" t="n">
        <v>9.69888900991177</v>
      </c>
      <c r="O120" s="10" t="n">
        <v>18.2611915913299</v>
      </c>
      <c r="P120" s="11" t="n">
        <v>26.1566951566952</v>
      </c>
      <c r="Q120" s="8" t="n">
        <v>2.13924409105762</v>
      </c>
      <c r="R120" s="8" t="n">
        <v>11.9891188323712</v>
      </c>
      <c r="S120" s="9" t="n">
        <v>1.842</v>
      </c>
      <c r="T120" s="9" t="n">
        <v>0.89</v>
      </c>
    </row>
    <row r="121" customFormat="false" ht="15" hidden="false" customHeight="true" outlineLevel="0" collapsed="false">
      <c r="A121" s="7" t="n">
        <v>1628991</v>
      </c>
      <c r="B121" s="7" t="s">
        <v>162</v>
      </c>
      <c r="C121" s="8" t="n">
        <v>329</v>
      </c>
      <c r="D121" s="8" t="n">
        <v>9698</v>
      </c>
      <c r="E121" s="8" t="n">
        <v>43471</v>
      </c>
      <c r="F121" s="9" t="n">
        <v>2.097</v>
      </c>
      <c r="G121" s="9" t="n">
        <v>0.571987007630439</v>
      </c>
      <c r="H121" s="9" t="n">
        <v>0.339107857290163</v>
      </c>
      <c r="I121" s="9" t="n">
        <v>0.337096514745308</v>
      </c>
      <c r="J121" s="10" t="n">
        <v>10.6257372654156</v>
      </c>
      <c r="K121" s="10" t="n">
        <v>8.91962260259848</v>
      </c>
      <c r="L121" s="10" t="n">
        <v>1.7454939162714</v>
      </c>
      <c r="M121" s="10" t="n">
        <v>6.14981439472056</v>
      </c>
      <c r="N121" s="10" t="n">
        <v>10.3600329964941</v>
      </c>
      <c r="O121" s="10" t="n">
        <v>27.100474324603</v>
      </c>
      <c r="P121" s="11" t="n">
        <v>29.4772036474164</v>
      </c>
      <c r="Q121" s="8" t="n">
        <v>4.81480717673747</v>
      </c>
      <c r="R121" s="8" t="n">
        <v>16.5903382140648</v>
      </c>
      <c r="S121" s="9" t="n">
        <v>-0.888</v>
      </c>
      <c r="T121" s="9" t="n">
        <v>2.985</v>
      </c>
    </row>
    <row r="122" customFormat="false" ht="15" hidden="false" customHeight="true" outlineLevel="0" collapsed="false">
      <c r="A122" s="7" t="n">
        <v>1628997</v>
      </c>
      <c r="B122" s="7" t="s">
        <v>163</v>
      </c>
      <c r="C122" s="8" t="n">
        <v>298</v>
      </c>
      <c r="D122" s="8" t="n">
        <v>7279</v>
      </c>
      <c r="E122" s="8" t="n">
        <v>33338</v>
      </c>
      <c r="F122" s="9" t="n">
        <v>-0.968</v>
      </c>
      <c r="G122" s="9" t="n">
        <v>0.553892705041901</v>
      </c>
      <c r="H122" s="9" t="n">
        <v>0.386585657370518</v>
      </c>
      <c r="I122" s="9" t="n">
        <v>0.236131611485094</v>
      </c>
      <c r="J122" s="10" t="n">
        <v>9.16072262673444</v>
      </c>
      <c r="K122" s="10" t="n">
        <v>9.75452672070339</v>
      </c>
      <c r="L122" s="10" t="n">
        <v>1.77116362137656</v>
      </c>
      <c r="M122" s="10" t="n">
        <v>1.72511333974447</v>
      </c>
      <c r="N122" s="10" t="n">
        <v>12.1093144662728</v>
      </c>
      <c r="O122" s="10" t="n">
        <v>15.2342904245089</v>
      </c>
      <c r="P122" s="11" t="n">
        <v>24.4261744966443</v>
      </c>
      <c r="Q122" s="8" t="n">
        <v>4.83033383706553</v>
      </c>
      <c r="R122" s="8" t="n">
        <v>13.6031322983926</v>
      </c>
      <c r="S122" s="9" t="n">
        <v>-1.498</v>
      </c>
      <c r="T122" s="9" t="n">
        <v>0.53</v>
      </c>
    </row>
    <row r="123" customFormat="false" ht="15" hidden="false" customHeight="true" outlineLevel="0" collapsed="false">
      <c r="A123" s="7" t="n">
        <v>1628998</v>
      </c>
      <c r="B123" s="7" t="s">
        <v>164</v>
      </c>
      <c r="C123" s="8" t="n">
        <v>163</v>
      </c>
      <c r="D123" s="8" t="n">
        <v>3981</v>
      </c>
      <c r="E123" s="8" t="n">
        <v>16155</v>
      </c>
      <c r="F123" s="9" t="n">
        <v>0.248</v>
      </c>
      <c r="G123" s="9" t="n">
        <v>0.527284099472494</v>
      </c>
      <c r="H123" s="9" t="n">
        <v>0.408914091936699</v>
      </c>
      <c r="I123" s="9" t="n">
        <v>0.21774101984426</v>
      </c>
      <c r="J123" s="10" t="n">
        <v>8.87410198442603</v>
      </c>
      <c r="K123" s="10" t="n">
        <v>13.687817131374</v>
      </c>
      <c r="L123" s="10" t="n">
        <v>2.27792012057272</v>
      </c>
      <c r="M123" s="10" t="n">
        <v>2.024667169053</v>
      </c>
      <c r="N123" s="10" t="n">
        <v>12.674202461693</v>
      </c>
      <c r="O123" s="10" t="n">
        <v>13.6592815875408</v>
      </c>
      <c r="P123" s="11" t="n">
        <v>24.4233128834356</v>
      </c>
      <c r="Q123" s="8" t="n">
        <v>4.33501632755589</v>
      </c>
      <c r="R123" s="8" t="n">
        <v>13.5991208239136</v>
      </c>
      <c r="S123" s="9" t="n">
        <v>-0.116</v>
      </c>
      <c r="T123" s="9" t="n">
        <v>0.363</v>
      </c>
    </row>
    <row r="124" customFormat="false" ht="15" hidden="false" customHeight="true" outlineLevel="0" collapsed="false">
      <c r="A124" s="7" t="n">
        <v>1629001</v>
      </c>
      <c r="B124" s="7" t="s">
        <v>165</v>
      </c>
      <c r="C124" s="8" t="n">
        <v>243</v>
      </c>
      <c r="D124" s="8" t="n">
        <v>6076</v>
      </c>
      <c r="E124" s="8" t="n">
        <v>26816</v>
      </c>
      <c r="F124" s="9" t="n">
        <v>0.981</v>
      </c>
      <c r="G124" s="9" t="n">
        <v>0.54092840684661</v>
      </c>
      <c r="H124" s="9" t="n">
        <v>0.563761520737327</v>
      </c>
      <c r="I124" s="9" t="n">
        <v>0.176815503620803</v>
      </c>
      <c r="J124" s="10" t="n">
        <v>8.78036537195523</v>
      </c>
      <c r="K124" s="10" t="n">
        <v>15.0702435813035</v>
      </c>
      <c r="L124" s="10" t="n">
        <v>2.99934167215273</v>
      </c>
      <c r="M124" s="10" t="n">
        <v>1.77345292955892</v>
      </c>
      <c r="N124" s="10" t="n">
        <v>12.41956879526</v>
      </c>
      <c r="O124" s="10" t="n">
        <v>19.8639730085583</v>
      </c>
      <c r="P124" s="11" t="n">
        <v>25.0041152263375</v>
      </c>
      <c r="Q124" s="8" t="n">
        <v>3.78311389071758</v>
      </c>
      <c r="R124" s="8" t="n">
        <v>13.8633475971034</v>
      </c>
      <c r="S124" s="9" t="n">
        <v>0.619</v>
      </c>
      <c r="T124" s="9" t="n">
        <v>0.363</v>
      </c>
    </row>
    <row r="125" customFormat="false" ht="15" hidden="false" customHeight="true" outlineLevel="0" collapsed="false">
      <c r="A125" s="7" t="n">
        <v>1629004</v>
      </c>
      <c r="B125" s="7" t="s">
        <v>166</v>
      </c>
      <c r="C125" s="8" t="n">
        <v>217</v>
      </c>
      <c r="D125" s="8" t="n">
        <v>3513</v>
      </c>
      <c r="E125" s="8" t="n">
        <v>14664</v>
      </c>
      <c r="F125" s="9" t="n">
        <v>1.29</v>
      </c>
      <c r="G125" s="9" t="n">
        <v>0.568928835752918</v>
      </c>
      <c r="H125" s="9" t="n">
        <v>0.649176202675776</v>
      </c>
      <c r="I125" s="9" t="n">
        <v>0.120369484770851</v>
      </c>
      <c r="J125" s="10" t="n">
        <v>6.3201537147737</v>
      </c>
      <c r="K125" s="10" t="n">
        <v>12.0847708511244</v>
      </c>
      <c r="L125" s="10" t="n">
        <v>1.34110446911472</v>
      </c>
      <c r="M125" s="10" t="n">
        <v>0.512097922003985</v>
      </c>
      <c r="N125" s="10" t="n">
        <v>11.0860802732707</v>
      </c>
      <c r="O125" s="10" t="n">
        <v>17.170196413322</v>
      </c>
      <c r="P125" s="11" t="n">
        <v>16.1889400921659</v>
      </c>
      <c r="Q125" s="8" t="n">
        <v>3.15325932251637</v>
      </c>
      <c r="R125" s="8" t="n">
        <v>9.54614289780814</v>
      </c>
      <c r="S125" s="9" t="n">
        <v>0.713</v>
      </c>
      <c r="T125" s="9" t="n">
        <v>0.577</v>
      </c>
    </row>
    <row r="126" customFormat="false" ht="15" hidden="false" customHeight="true" outlineLevel="0" collapsed="false">
      <c r="A126" s="7" t="n">
        <v>1629006</v>
      </c>
      <c r="B126" s="7" t="s">
        <v>167</v>
      </c>
      <c r="C126" s="8" t="n">
        <v>299</v>
      </c>
      <c r="D126" s="8" t="n">
        <v>4805</v>
      </c>
      <c r="E126" s="8" t="n">
        <v>20624</v>
      </c>
      <c r="F126" s="9" t="n">
        <v>1.132</v>
      </c>
      <c r="G126" s="9" t="n">
        <v>0.543004578563996</v>
      </c>
      <c r="H126" s="9" t="n">
        <v>0.484252653485952</v>
      </c>
      <c r="I126" s="9" t="n">
        <v>0.400261186264308</v>
      </c>
      <c r="J126" s="10" t="n">
        <v>9.09429760665973</v>
      </c>
      <c r="K126" s="10" t="n">
        <v>8.06894901144641</v>
      </c>
      <c r="L126" s="10" t="n">
        <v>2.44154006243496</v>
      </c>
      <c r="M126" s="10" t="n">
        <v>1.99617065556712</v>
      </c>
      <c r="N126" s="10" t="n">
        <v>11.8977523413111</v>
      </c>
      <c r="O126" s="10" t="n">
        <v>14.5902809573361</v>
      </c>
      <c r="P126" s="11" t="n">
        <v>16.0702341137124</v>
      </c>
      <c r="Q126" s="8" t="n">
        <v>7.87267429760666</v>
      </c>
      <c r="R126" s="8" t="n">
        <v>10.3158376690947</v>
      </c>
      <c r="S126" s="9" t="n">
        <v>-0.479</v>
      </c>
      <c r="T126" s="9" t="n">
        <v>1.612</v>
      </c>
    </row>
    <row r="127" customFormat="false" ht="15" hidden="false" customHeight="true" outlineLevel="0" collapsed="false">
      <c r="A127" s="7" t="n">
        <v>1629008</v>
      </c>
      <c r="B127" s="7" t="s">
        <v>168</v>
      </c>
      <c r="C127" s="8" t="n">
        <v>281</v>
      </c>
      <c r="D127" s="8" t="n">
        <v>8910</v>
      </c>
      <c r="E127" s="8" t="n">
        <v>42309</v>
      </c>
      <c r="F127" s="9" t="n">
        <v>0.274</v>
      </c>
      <c r="G127" s="9" t="n">
        <v>0.603052637485971</v>
      </c>
      <c r="H127" s="9" t="n">
        <v>0.505565432098765</v>
      </c>
      <c r="I127" s="9" t="n">
        <v>0.160380359147026</v>
      </c>
      <c r="J127" s="10" t="n">
        <v>11.7866217732884</v>
      </c>
      <c r="K127" s="10" t="n">
        <v>9.24492704826038</v>
      </c>
      <c r="L127" s="10" t="n">
        <v>1.05382716049383</v>
      </c>
      <c r="M127" s="10" t="n">
        <v>1.33253647586981</v>
      </c>
      <c r="N127" s="10" t="n">
        <v>8.3296632996633</v>
      </c>
      <c r="O127" s="10" t="n">
        <v>22.7860493827161</v>
      </c>
      <c r="P127" s="11" t="n">
        <v>31.7081850533808</v>
      </c>
      <c r="Q127" s="8" t="n">
        <v>4.94482603815937</v>
      </c>
      <c r="R127" s="8" t="n">
        <v>18.4617283950617</v>
      </c>
      <c r="S127" s="9" t="n">
        <v>1.136</v>
      </c>
      <c r="T127" s="9" t="n">
        <v>-0.861</v>
      </c>
    </row>
    <row r="128" customFormat="false" ht="15" hidden="false" customHeight="true" outlineLevel="0" collapsed="false">
      <c r="A128" s="7" t="n">
        <v>1629011</v>
      </c>
      <c r="B128" s="7" t="s">
        <v>169</v>
      </c>
      <c r="C128" s="8" t="n">
        <v>239</v>
      </c>
      <c r="D128" s="8" t="n">
        <v>5672</v>
      </c>
      <c r="E128" s="8" t="n">
        <v>26358</v>
      </c>
      <c r="F128" s="9" t="n">
        <v>1.855</v>
      </c>
      <c r="G128" s="9" t="n">
        <v>0.667736248236953</v>
      </c>
      <c r="H128" s="9" t="n">
        <v>0</v>
      </c>
      <c r="I128" s="9" t="n">
        <v>0.485647038081805</v>
      </c>
      <c r="J128" s="10" t="n">
        <v>20.0188645980254</v>
      </c>
      <c r="K128" s="10" t="n">
        <v>4.22776798307475</v>
      </c>
      <c r="L128" s="10" t="n">
        <v>1.95833921015515</v>
      </c>
      <c r="M128" s="10" t="n">
        <v>6.27894922425952</v>
      </c>
      <c r="N128" s="10" t="n">
        <v>12.5513928067701</v>
      </c>
      <c r="O128" s="10" t="n">
        <v>10.7125176304654</v>
      </c>
      <c r="P128" s="11" t="n">
        <v>23.7322175732218</v>
      </c>
      <c r="Q128" s="8" t="n">
        <v>19.4522038081805</v>
      </c>
      <c r="R128" s="8" t="n">
        <v>20.6181064880113</v>
      </c>
      <c r="S128" s="9" t="n">
        <v>0.491</v>
      </c>
      <c r="T128" s="9" t="n">
        <v>1.364</v>
      </c>
    </row>
    <row r="129" customFormat="false" ht="15" hidden="false" customHeight="true" outlineLevel="0" collapsed="false">
      <c r="A129" s="7" t="n">
        <v>1629012</v>
      </c>
      <c r="B129" s="7" t="s">
        <v>170</v>
      </c>
      <c r="C129" s="8" t="n">
        <v>268</v>
      </c>
      <c r="D129" s="8" t="n">
        <v>6908</v>
      </c>
      <c r="E129" s="8" t="n">
        <v>28696</v>
      </c>
      <c r="F129" s="9" t="n">
        <v>-2.38</v>
      </c>
      <c r="G129" s="9" t="n">
        <v>0.602955558772438</v>
      </c>
      <c r="H129" s="9" t="n">
        <v>0.318414302258251</v>
      </c>
      <c r="I129" s="9" t="n">
        <v>0.34335393746381</v>
      </c>
      <c r="J129" s="10" t="n">
        <v>5.30060799073538</v>
      </c>
      <c r="K129" s="10" t="n">
        <v>23.8300521134916</v>
      </c>
      <c r="L129" s="10" t="n">
        <v>1.54425303995368</v>
      </c>
      <c r="M129" s="10" t="n">
        <v>0.523132599884192</v>
      </c>
      <c r="N129" s="10" t="n">
        <v>13.4586276780544</v>
      </c>
      <c r="O129" s="10" t="n">
        <v>26.3376519976839</v>
      </c>
      <c r="P129" s="11" t="n">
        <v>25.7761194029851</v>
      </c>
      <c r="Q129" s="8" t="n">
        <v>3.52777938621888</v>
      </c>
      <c r="R129" s="8" t="n">
        <v>7.04447017950203</v>
      </c>
      <c r="S129" s="9" t="n">
        <v>0.219</v>
      </c>
      <c r="T129" s="9" t="n">
        <v>-2.599</v>
      </c>
    </row>
    <row r="130" customFormat="false" ht="15" hidden="false" customHeight="true" outlineLevel="0" collapsed="false">
      <c r="A130" s="7" t="n">
        <v>1629013</v>
      </c>
      <c r="B130" s="7" t="s">
        <v>171</v>
      </c>
      <c r="C130" s="8" t="n">
        <v>256</v>
      </c>
      <c r="D130" s="8" t="n">
        <v>4903</v>
      </c>
      <c r="E130" s="8" t="n">
        <v>23096</v>
      </c>
      <c r="F130" s="9" t="n">
        <v>-0.086</v>
      </c>
      <c r="G130" s="9" t="n">
        <v>0.568138894554355</v>
      </c>
      <c r="H130" s="9" t="n">
        <v>0.673954925555782</v>
      </c>
      <c r="I130" s="9" t="n">
        <v>0.16384091372629</v>
      </c>
      <c r="J130" s="10" t="n">
        <v>4.58154191311442</v>
      </c>
      <c r="K130" s="10" t="n">
        <v>9.62626963083826</v>
      </c>
      <c r="L130" s="10" t="n">
        <v>1.30764837854375</v>
      </c>
      <c r="M130" s="10" t="n">
        <v>0.659636956965124</v>
      </c>
      <c r="N130" s="10" t="n">
        <v>8.15539465633286</v>
      </c>
      <c r="O130" s="10" t="n">
        <v>16.8682439322864</v>
      </c>
      <c r="P130" s="11" t="n">
        <v>19.15234375</v>
      </c>
      <c r="Q130" s="8" t="n">
        <v>1.72879869467673</v>
      </c>
      <c r="R130" s="8" t="n">
        <v>7.40858657964512</v>
      </c>
      <c r="S130" s="9" t="n">
        <v>-1.466</v>
      </c>
      <c r="T130" s="9" t="n">
        <v>1.38</v>
      </c>
    </row>
    <row r="131" customFormat="false" ht="15" hidden="false" customHeight="true" outlineLevel="0" collapsed="false">
      <c r="A131" s="7" t="n">
        <v>1629014</v>
      </c>
      <c r="B131" s="7" t="s">
        <v>172</v>
      </c>
      <c r="C131" s="8" t="n">
        <v>290</v>
      </c>
      <c r="D131" s="8" t="n">
        <v>9098</v>
      </c>
      <c r="E131" s="8" t="n">
        <v>36630</v>
      </c>
      <c r="F131" s="9" t="n">
        <v>-0.947</v>
      </c>
      <c r="G131" s="9" t="n">
        <v>0.57230885908991</v>
      </c>
      <c r="H131" s="9" t="n">
        <v>0.53606781710266</v>
      </c>
      <c r="I131" s="9" t="n">
        <v>0.166094196526709</v>
      </c>
      <c r="J131" s="10" t="n">
        <v>4.90534183336997</v>
      </c>
      <c r="K131" s="10" t="n">
        <v>21.4109474609804</v>
      </c>
      <c r="L131" s="10" t="n">
        <v>0.981072763244669</v>
      </c>
      <c r="M131" s="10" t="n">
        <v>0.410112112552209</v>
      </c>
      <c r="N131" s="10" t="n">
        <v>10.7793690921082</v>
      </c>
      <c r="O131" s="10" t="n">
        <v>25.1966695977138</v>
      </c>
      <c r="P131" s="11" t="n">
        <v>31.3724137931035</v>
      </c>
      <c r="Q131" s="8" t="n">
        <v>1.45052758848099</v>
      </c>
      <c r="R131" s="8" t="n">
        <v>8.51627830292372</v>
      </c>
      <c r="S131" s="9" t="n">
        <v>0.904</v>
      </c>
      <c r="T131" s="9" t="n">
        <v>-1.85</v>
      </c>
    </row>
    <row r="132" customFormat="false" ht="15" hidden="false" customHeight="true" outlineLevel="0" collapsed="false">
      <c r="A132" s="7" t="n">
        <v>1629018</v>
      </c>
      <c r="B132" s="7" t="s">
        <v>173</v>
      </c>
      <c r="C132" s="8" t="n">
        <v>346</v>
      </c>
      <c r="D132" s="8" t="n">
        <v>9830</v>
      </c>
      <c r="E132" s="8" t="n">
        <v>41197</v>
      </c>
      <c r="F132" s="9" t="n">
        <v>-4.012</v>
      </c>
      <c r="G132" s="9" t="n">
        <v>0.556266937945066</v>
      </c>
      <c r="H132" s="9" t="n">
        <v>0.565361342828077</v>
      </c>
      <c r="I132" s="9" t="n">
        <v>0.159295829094608</v>
      </c>
      <c r="J132" s="10" t="n">
        <v>4.40846388606307</v>
      </c>
      <c r="K132" s="10" t="n">
        <v>7.88354018311292</v>
      </c>
      <c r="L132" s="10" t="n">
        <v>2.03983723296033</v>
      </c>
      <c r="M132" s="10" t="n">
        <v>0.47617497456765</v>
      </c>
      <c r="N132" s="10" t="n">
        <v>5.71978636826043</v>
      </c>
      <c r="O132" s="10" t="n">
        <v>19.8638555442523</v>
      </c>
      <c r="P132" s="11" t="n">
        <v>28.4104046242775</v>
      </c>
      <c r="Q132" s="8" t="n">
        <v>1.21026449643947</v>
      </c>
      <c r="R132" s="8" t="n">
        <v>7.80205493387589</v>
      </c>
      <c r="S132" s="9" t="n">
        <v>-0.595</v>
      </c>
      <c r="T132" s="9" t="n">
        <v>-3.417</v>
      </c>
    </row>
    <row r="133" customFormat="false" ht="15" hidden="false" customHeight="true" outlineLevel="0" collapsed="false">
      <c r="A133" s="7" t="n">
        <v>1629020</v>
      </c>
      <c r="B133" s="7" t="s">
        <v>174</v>
      </c>
      <c r="C133" s="8" t="n">
        <v>282</v>
      </c>
      <c r="D133" s="8" t="n">
        <v>6049</v>
      </c>
      <c r="E133" s="8" t="n">
        <v>27120</v>
      </c>
      <c r="F133" s="9" t="n">
        <v>-0.199</v>
      </c>
      <c r="G133" s="9" t="n">
        <v>0.586365184327988</v>
      </c>
      <c r="H133" s="9" t="n">
        <v>0.19938254256902</v>
      </c>
      <c r="I133" s="9" t="n">
        <v>0.310915853860142</v>
      </c>
      <c r="J133" s="10" t="n">
        <v>16.5124318069102</v>
      </c>
      <c r="K133" s="10" t="n">
        <v>9.5841957348322</v>
      </c>
      <c r="L133" s="10" t="n">
        <v>2.44354438750207</v>
      </c>
      <c r="M133" s="10" t="n">
        <v>1.54475119854521</v>
      </c>
      <c r="N133" s="10" t="n">
        <v>16.1830550504216</v>
      </c>
      <c r="O133" s="10" t="n">
        <v>12.2489337080509</v>
      </c>
      <c r="P133" s="11" t="n">
        <v>21.4503546099291</v>
      </c>
      <c r="Q133" s="8" t="n">
        <v>10.5430153744421</v>
      </c>
      <c r="R133" s="8" t="n">
        <v>22.3716978012895</v>
      </c>
      <c r="S133" s="9" t="n">
        <v>0.587</v>
      </c>
      <c r="T133" s="9" t="n">
        <v>-0.787</v>
      </c>
    </row>
    <row r="134" customFormat="false" ht="15" hidden="false" customHeight="true" outlineLevel="0" collapsed="false">
      <c r="A134" s="7" t="n">
        <v>1629021</v>
      </c>
      <c r="B134" s="7" t="s">
        <v>175</v>
      </c>
      <c r="C134" s="8" t="n">
        <v>266</v>
      </c>
      <c r="D134" s="8" t="n">
        <v>4475</v>
      </c>
      <c r="E134" s="8" t="n">
        <v>18743</v>
      </c>
      <c r="F134" s="9" t="n">
        <v>-0.518</v>
      </c>
      <c r="G134" s="9" t="n">
        <v>0.637327597765363</v>
      </c>
      <c r="H134" s="9" t="n">
        <v>0.349042458100559</v>
      </c>
      <c r="I134" s="9" t="n">
        <v>0.391843798882682</v>
      </c>
      <c r="J134" s="10" t="n">
        <v>13.8922458100559</v>
      </c>
      <c r="K134" s="10" t="n">
        <v>12.3473072625698</v>
      </c>
      <c r="L134" s="10" t="n">
        <v>1.48060335195531</v>
      </c>
      <c r="M134" s="10" t="n">
        <v>1.26294972067039</v>
      </c>
      <c r="N134" s="10" t="n">
        <v>12.1115754189944</v>
      </c>
      <c r="O134" s="10" t="n">
        <v>23.0474189944134</v>
      </c>
      <c r="P134" s="11" t="n">
        <v>16.8233082706767</v>
      </c>
      <c r="Q134" s="8" t="n">
        <v>7.39548603351955</v>
      </c>
      <c r="R134" s="8" t="n">
        <v>20.5405363128492</v>
      </c>
      <c r="S134" s="9" t="n">
        <v>0.413</v>
      </c>
      <c r="T134" s="9" t="n">
        <v>-0.931</v>
      </c>
    </row>
    <row r="135" customFormat="false" ht="15" hidden="false" customHeight="true" outlineLevel="0" collapsed="false">
      <c r="A135" s="7" t="n">
        <v>1629023</v>
      </c>
      <c r="B135" s="7" t="s">
        <v>176</v>
      </c>
      <c r="C135" s="8" t="n">
        <v>324</v>
      </c>
      <c r="D135" s="8" t="n">
        <v>9940</v>
      </c>
      <c r="E135" s="8" t="n">
        <v>44488</v>
      </c>
      <c r="F135" s="9" t="n">
        <v>-0.665</v>
      </c>
      <c r="G135" s="9" t="n">
        <v>0.550775955734406</v>
      </c>
      <c r="H135" s="9" t="n">
        <v>0.44772615694165</v>
      </c>
      <c r="I135" s="9" t="n">
        <v>0.213041951710262</v>
      </c>
      <c r="J135" s="10" t="n">
        <v>10.5275251509054</v>
      </c>
      <c r="K135" s="10" t="n">
        <v>9.9830985915493</v>
      </c>
      <c r="L135" s="10" t="n">
        <v>1.51137826961771</v>
      </c>
      <c r="M135" s="10" t="n">
        <v>2.84096579476861</v>
      </c>
      <c r="N135" s="10" t="n">
        <v>11.188078470825</v>
      </c>
      <c r="O135" s="10" t="n">
        <v>19.2512575452716</v>
      </c>
      <c r="P135" s="11" t="n">
        <v>30.679012345679</v>
      </c>
      <c r="Q135" s="8" t="n">
        <v>4.38961770623742</v>
      </c>
      <c r="R135" s="8" t="n">
        <v>16.6806036217304</v>
      </c>
      <c r="S135" s="9" t="n">
        <v>-0.953</v>
      </c>
      <c r="T135" s="9" t="n">
        <v>0.288</v>
      </c>
    </row>
    <row r="136" customFormat="false" ht="15" hidden="false" customHeight="true" outlineLevel="0" collapsed="false">
      <c r="A136" s="7" t="n">
        <v>1629026</v>
      </c>
      <c r="B136" s="7" t="s">
        <v>177</v>
      </c>
      <c r="C136" s="8" t="n">
        <v>296</v>
      </c>
      <c r="D136" s="8" t="n">
        <v>5294</v>
      </c>
      <c r="E136" s="8" t="n">
        <v>22619</v>
      </c>
      <c r="F136" s="9" t="n">
        <v>3.002</v>
      </c>
      <c r="G136" s="9" t="n">
        <v>0.56880714015867</v>
      </c>
      <c r="H136" s="9" t="n">
        <v>0.437170003777862</v>
      </c>
      <c r="I136" s="9" t="n">
        <v>0.122639969777106</v>
      </c>
      <c r="J136" s="10" t="n">
        <v>11.3246316584813</v>
      </c>
      <c r="K136" s="10" t="n">
        <v>12.3824896108802</v>
      </c>
      <c r="L136" s="10" t="n">
        <v>1.84049867774839</v>
      </c>
      <c r="M136" s="10" t="n">
        <v>0.87767283717416</v>
      </c>
      <c r="N136" s="10" t="n">
        <v>10.17128825085</v>
      </c>
      <c r="O136" s="10" t="n">
        <v>15.1328485077446</v>
      </c>
      <c r="P136" s="11" t="n">
        <v>17.8851351351351</v>
      </c>
      <c r="Q136" s="8" t="n">
        <v>7.32204382319607</v>
      </c>
      <c r="R136" s="8" t="n">
        <v>15.2476010578013</v>
      </c>
      <c r="S136" s="9" t="n">
        <v>0.319</v>
      </c>
      <c r="T136" s="9" t="n">
        <v>2.683</v>
      </c>
    </row>
    <row r="137" customFormat="false" ht="15" hidden="false" customHeight="true" outlineLevel="0" collapsed="false">
      <c r="A137" s="7" t="n">
        <v>1629027</v>
      </c>
      <c r="B137" s="7" t="s">
        <v>178</v>
      </c>
      <c r="C137" s="8" t="n">
        <v>294</v>
      </c>
      <c r="D137" s="8" t="n">
        <v>10258</v>
      </c>
      <c r="E137" s="8" t="n">
        <v>45081</v>
      </c>
      <c r="F137" s="9" t="n">
        <v>0.179</v>
      </c>
      <c r="G137" s="9" t="n">
        <v>0.582885552739325</v>
      </c>
      <c r="H137" s="9" t="n">
        <v>0.413757262624293</v>
      </c>
      <c r="I137" s="9" t="n">
        <v>0.412437902125171</v>
      </c>
      <c r="J137" s="10" t="n">
        <v>4.89686098654709</v>
      </c>
      <c r="K137" s="10" t="n">
        <v>45.2429225969975</v>
      </c>
      <c r="L137" s="10" t="n">
        <v>1.53553324234744</v>
      </c>
      <c r="M137" s="10" t="n">
        <v>0.346198089296159</v>
      </c>
      <c r="N137" s="10" t="n">
        <v>15.9823259894716</v>
      </c>
      <c r="O137" s="10" t="n">
        <v>31.6983037629168</v>
      </c>
      <c r="P137" s="11" t="n">
        <v>34.891156462585</v>
      </c>
      <c r="Q137" s="8" t="n">
        <v>1.77958666406707</v>
      </c>
      <c r="R137" s="8" t="n">
        <v>8.06435952427374</v>
      </c>
      <c r="S137" s="9" t="n">
        <v>3.336</v>
      </c>
      <c r="T137" s="9" t="n">
        <v>-3.157</v>
      </c>
    </row>
    <row r="138" customFormat="false" ht="15" hidden="false" customHeight="true" outlineLevel="0" collapsed="false">
      <c r="A138" s="7" t="n">
        <v>1629028</v>
      </c>
      <c r="B138" s="7" t="s">
        <v>179</v>
      </c>
      <c r="C138" s="8" t="n">
        <v>292</v>
      </c>
      <c r="D138" s="8" t="n">
        <v>8696</v>
      </c>
      <c r="E138" s="8" t="n">
        <v>39301</v>
      </c>
      <c r="F138" s="9" t="n">
        <v>-2.122</v>
      </c>
      <c r="G138" s="9" t="n">
        <v>0.627097171113155</v>
      </c>
      <c r="H138" s="9" t="n">
        <v>0.0237345906163753</v>
      </c>
      <c r="I138" s="9" t="n">
        <v>0.185044273229071</v>
      </c>
      <c r="J138" s="10" t="n">
        <v>18.2148689052438</v>
      </c>
      <c r="K138" s="10" t="n">
        <v>7.64742410303588</v>
      </c>
      <c r="L138" s="10" t="n">
        <v>1.12660993560258</v>
      </c>
      <c r="M138" s="10" t="n">
        <v>2.52794388224471</v>
      </c>
      <c r="N138" s="10" t="n">
        <v>11.1708716651334</v>
      </c>
      <c r="O138" s="10" t="n">
        <v>20.3538523459062</v>
      </c>
      <c r="P138" s="11" t="n">
        <v>29.7808219178082</v>
      </c>
      <c r="Q138" s="8" t="n">
        <v>10.2786108555658</v>
      </c>
      <c r="R138" s="8" t="n">
        <v>26.3971021159154</v>
      </c>
      <c r="S138" s="9" t="n">
        <v>-2.386</v>
      </c>
      <c r="T138" s="9" t="n">
        <v>0.264</v>
      </c>
    </row>
    <row r="139" customFormat="false" ht="15" hidden="false" customHeight="true" outlineLevel="0" collapsed="false">
      <c r="A139" s="7" t="n">
        <v>1629029</v>
      </c>
      <c r="B139" s="7" t="s">
        <v>180</v>
      </c>
      <c r="C139" s="8" t="n">
        <v>315</v>
      </c>
      <c r="D139" s="8" t="n">
        <v>11374</v>
      </c>
      <c r="E139" s="8" t="n">
        <v>52408</v>
      </c>
      <c r="F139" s="9" t="n">
        <v>3.996</v>
      </c>
      <c r="G139" s="9" t="n">
        <v>0.601145155618076</v>
      </c>
      <c r="H139" s="9" t="n">
        <v>0.433099525232988</v>
      </c>
      <c r="I139" s="9" t="n">
        <v>0.405227888165993</v>
      </c>
      <c r="J139" s="10" t="n">
        <v>13.4550378055214</v>
      </c>
      <c r="K139" s="10" t="n">
        <v>42.1833919465448</v>
      </c>
      <c r="L139" s="10" t="n">
        <v>1.96993142254264</v>
      </c>
      <c r="M139" s="10" t="n">
        <v>1.28822753648672</v>
      </c>
      <c r="N139" s="10" t="n">
        <v>13.1476701248461</v>
      </c>
      <c r="O139" s="10" t="n">
        <v>36.7155793915949</v>
      </c>
      <c r="P139" s="11" t="n">
        <v>36.1079365079365</v>
      </c>
      <c r="Q139" s="8" t="n">
        <v>2.51666080534553</v>
      </c>
      <c r="R139" s="8" t="n">
        <v>24.2715755231229</v>
      </c>
      <c r="S139" s="9" t="n">
        <v>3.922</v>
      </c>
      <c r="T139" s="9" t="n">
        <v>0.073</v>
      </c>
    </row>
    <row r="140" customFormat="false" ht="15" hidden="false" customHeight="true" outlineLevel="0" collapsed="false">
      <c r="A140" s="7" t="n">
        <v>1629048</v>
      </c>
      <c r="B140" s="7" t="s">
        <v>181</v>
      </c>
      <c r="C140" s="8" t="n">
        <v>284</v>
      </c>
      <c r="D140" s="8" t="n">
        <v>4545</v>
      </c>
      <c r="E140" s="8" t="n">
        <v>18680</v>
      </c>
      <c r="F140" s="9" t="n">
        <v>1.191</v>
      </c>
      <c r="G140" s="9" t="n">
        <v>0.634634103410341</v>
      </c>
      <c r="H140" s="9" t="n">
        <v>0.122461166116612</v>
      </c>
      <c r="I140" s="9" t="n">
        <v>0.396715731573157</v>
      </c>
      <c r="J140" s="10" t="n">
        <v>17.326600660066</v>
      </c>
      <c r="K140" s="10" t="n">
        <v>12.8064686468647</v>
      </c>
      <c r="L140" s="10" t="n">
        <v>1.67326732673267</v>
      </c>
      <c r="M140" s="10" t="n">
        <v>6.10440044004401</v>
      </c>
      <c r="N140" s="10" t="n">
        <v>14.4633223322332</v>
      </c>
      <c r="O140" s="10" t="n">
        <v>14.9271727172717</v>
      </c>
      <c r="P140" s="11" t="n">
        <v>16.0035211267606</v>
      </c>
      <c r="Q140" s="8" t="n">
        <v>13.5494829482948</v>
      </c>
      <c r="R140" s="8" t="n">
        <v>21.3452805280528</v>
      </c>
      <c r="S140" s="9" t="n">
        <v>0.242</v>
      </c>
      <c r="T140" s="9" t="n">
        <v>0.949</v>
      </c>
    </row>
    <row r="141" customFormat="false" ht="15" hidden="false" customHeight="true" outlineLevel="0" collapsed="false">
      <c r="A141" s="7" t="n">
        <v>1629057</v>
      </c>
      <c r="B141" s="7" t="s">
        <v>182</v>
      </c>
      <c r="C141" s="8" t="n">
        <v>181</v>
      </c>
      <c r="D141" s="8" t="n">
        <v>4106</v>
      </c>
      <c r="E141" s="8" t="n">
        <v>20198</v>
      </c>
      <c r="F141" s="9" t="n">
        <v>2.851</v>
      </c>
      <c r="G141" s="9" t="n">
        <v>0.73134169508037</v>
      </c>
      <c r="H141" s="9" t="n">
        <v>0.0283560642961519</v>
      </c>
      <c r="I141" s="9" t="n">
        <v>0.240642961519727</v>
      </c>
      <c r="J141" s="10" t="n">
        <v>19.1549683390161</v>
      </c>
      <c r="K141" s="10" t="n">
        <v>9.07021432050658</v>
      </c>
      <c r="L141" s="10" t="n">
        <v>1.57518265952265</v>
      </c>
      <c r="M141" s="10" t="n">
        <v>6.76156843643449</v>
      </c>
      <c r="N141" s="10" t="n">
        <v>14.6315879201169</v>
      </c>
      <c r="O141" s="10" t="n">
        <v>12.0621042377009</v>
      </c>
      <c r="P141" s="11" t="n">
        <v>22.6850828729282</v>
      </c>
      <c r="Q141" s="8" t="n">
        <v>14.0636385776912</v>
      </c>
      <c r="R141" s="8" t="n">
        <v>24.2945689235266</v>
      </c>
      <c r="S141" s="9" t="n">
        <v>-0.429</v>
      </c>
      <c r="T141" s="9" t="n">
        <v>3.28</v>
      </c>
    </row>
    <row r="142" customFormat="false" ht="15" hidden="false" customHeight="true" outlineLevel="0" collapsed="false">
      <c r="A142" s="7" t="n">
        <v>1629060</v>
      </c>
      <c r="B142" s="7" t="s">
        <v>183</v>
      </c>
      <c r="C142" s="8" t="n">
        <v>300</v>
      </c>
      <c r="D142" s="8" t="n">
        <v>8031</v>
      </c>
      <c r="E142" s="8" t="n">
        <v>37324</v>
      </c>
      <c r="F142" s="9" t="n">
        <v>0.449</v>
      </c>
      <c r="G142" s="9" t="n">
        <v>0.605089279043706</v>
      </c>
      <c r="H142" s="9" t="n">
        <v>0.371105092765534</v>
      </c>
      <c r="I142" s="9" t="n">
        <v>0.177218528203213</v>
      </c>
      <c r="J142" s="10" t="n">
        <v>8.77088780973727</v>
      </c>
      <c r="K142" s="10" t="n">
        <v>5.89199352509028</v>
      </c>
      <c r="L142" s="10" t="n">
        <v>1.01974847466069</v>
      </c>
      <c r="M142" s="10" t="n">
        <v>1.18307807246918</v>
      </c>
      <c r="N142" s="10" t="n">
        <v>6.82649732287386</v>
      </c>
      <c r="O142" s="10" t="n">
        <v>17.6719586601918</v>
      </c>
      <c r="P142" s="11" t="n">
        <v>26.77</v>
      </c>
      <c r="Q142" s="8" t="n">
        <v>3.70615116423858</v>
      </c>
      <c r="R142" s="8" t="n">
        <v>13.5063752957291</v>
      </c>
      <c r="S142" s="9" t="n">
        <v>0.169</v>
      </c>
      <c r="T142" s="9" t="n">
        <v>0.279</v>
      </c>
    </row>
    <row r="143" customFormat="false" ht="15" hidden="false" customHeight="true" outlineLevel="0" collapsed="false">
      <c r="A143" s="7" t="n">
        <v>1629111</v>
      </c>
      <c r="B143" s="7" t="s">
        <v>184</v>
      </c>
      <c r="C143" s="8" t="n">
        <v>289</v>
      </c>
      <c r="D143" s="8" t="n">
        <v>4337</v>
      </c>
      <c r="E143" s="8" t="n">
        <v>18397</v>
      </c>
      <c r="F143" s="9" t="n">
        <v>0.879</v>
      </c>
      <c r="G143" s="9" t="n">
        <v>0.592759972331104</v>
      </c>
      <c r="H143" s="9" t="n">
        <v>0.291493889785566</v>
      </c>
      <c r="I143" s="9" t="n">
        <v>0.263505879640304</v>
      </c>
      <c r="J143" s="10" t="n">
        <v>13.8756283145031</v>
      </c>
      <c r="K143" s="10" t="n">
        <v>10.8372838367535</v>
      </c>
      <c r="L143" s="10" t="n">
        <v>1.0497809545769</v>
      </c>
      <c r="M143" s="10" t="n">
        <v>2.55626008761817</v>
      </c>
      <c r="N143" s="10" t="n">
        <v>11.1243947429099</v>
      </c>
      <c r="O143" s="10" t="n">
        <v>17.5830758588886</v>
      </c>
      <c r="P143" s="11" t="n">
        <v>15.0069204152249</v>
      </c>
      <c r="Q143" s="8" t="n">
        <v>12.4617708093152</v>
      </c>
      <c r="R143" s="8" t="n">
        <v>15.3285681346553</v>
      </c>
      <c r="S143" s="9" t="n">
        <v>0.806</v>
      </c>
      <c r="T143" s="9" t="n">
        <v>0.073</v>
      </c>
    </row>
    <row r="144" customFormat="false" ht="15" hidden="false" customHeight="true" outlineLevel="0" collapsed="false">
      <c r="A144" s="7" t="n">
        <v>1629130</v>
      </c>
      <c r="B144" s="7" t="s">
        <v>185</v>
      </c>
      <c r="C144" s="8" t="n">
        <v>340</v>
      </c>
      <c r="D144" s="8" t="n">
        <v>8538</v>
      </c>
      <c r="E144" s="8" t="n">
        <v>38329</v>
      </c>
      <c r="F144" s="9" t="n">
        <v>0.12</v>
      </c>
      <c r="G144" s="9" t="n">
        <v>0.597006324666198</v>
      </c>
      <c r="H144" s="9" t="n">
        <v>0.770306043569923</v>
      </c>
      <c r="I144" s="9" t="n">
        <v>0.116537362379948</v>
      </c>
      <c r="J144" s="10" t="n">
        <v>5.37955024595924</v>
      </c>
      <c r="K144" s="10" t="n">
        <v>11.9540407589599</v>
      </c>
      <c r="L144" s="10" t="n">
        <v>1.06554228156477</v>
      </c>
      <c r="M144" s="10" t="n">
        <v>0.656230967439681</v>
      </c>
      <c r="N144" s="10" t="n">
        <v>9.17057858983368</v>
      </c>
      <c r="O144" s="10" t="n">
        <v>17.8498008901382</v>
      </c>
      <c r="P144" s="11" t="n">
        <v>25.1117647058824</v>
      </c>
      <c r="Q144" s="8" t="n">
        <v>1.26708831107988</v>
      </c>
      <c r="R144" s="8" t="n">
        <v>9.51098617943312</v>
      </c>
      <c r="S144" s="9" t="n">
        <v>0.839</v>
      </c>
      <c r="T144" s="9" t="n">
        <v>-0.719</v>
      </c>
    </row>
    <row r="145" customFormat="false" ht="15" hidden="false" customHeight="true" outlineLevel="0" collapsed="false">
      <c r="A145" s="7" t="n">
        <v>1629162</v>
      </c>
      <c r="B145" s="7" t="s">
        <v>186</v>
      </c>
      <c r="C145" s="8" t="n">
        <v>251</v>
      </c>
      <c r="D145" s="8" t="n">
        <v>2802</v>
      </c>
      <c r="E145" s="8" t="n">
        <v>12477</v>
      </c>
      <c r="F145" s="9" t="n">
        <v>2.008</v>
      </c>
      <c r="G145" s="9" t="n">
        <v>0.563822269807281</v>
      </c>
      <c r="H145" s="9" t="n">
        <v>0.526700927908637</v>
      </c>
      <c r="I145" s="9" t="n">
        <v>0.165338329764454</v>
      </c>
      <c r="J145" s="10" t="n">
        <v>5.69678800856531</v>
      </c>
      <c r="K145" s="10" t="n">
        <v>24.4111349036403</v>
      </c>
      <c r="L145" s="10" t="n">
        <v>2.74596716630978</v>
      </c>
      <c r="M145" s="10" t="n">
        <v>0.792505353319058</v>
      </c>
      <c r="N145" s="10" t="n">
        <v>14.9570306923626</v>
      </c>
      <c r="O145" s="10" t="n">
        <v>12.2826552462527</v>
      </c>
      <c r="P145" s="11" t="n">
        <v>11.1633466135458</v>
      </c>
      <c r="Q145" s="8" t="n">
        <v>2.70856531049251</v>
      </c>
      <c r="R145" s="8" t="n">
        <v>8.66038543897216</v>
      </c>
      <c r="S145" s="9" t="n">
        <v>0.232</v>
      </c>
      <c r="T145" s="9" t="n">
        <v>1.776</v>
      </c>
    </row>
    <row r="146" customFormat="false" ht="15" hidden="false" customHeight="true" outlineLevel="0" collapsed="false">
      <c r="A146" s="7" t="n">
        <v>1629216</v>
      </c>
      <c r="B146" s="7" t="s">
        <v>187</v>
      </c>
      <c r="C146" s="8" t="n">
        <v>272</v>
      </c>
      <c r="D146" s="8" t="n">
        <v>5972</v>
      </c>
      <c r="E146" s="8" t="n">
        <v>29319</v>
      </c>
      <c r="F146" s="9" t="n">
        <v>0.21</v>
      </c>
      <c r="G146" s="9" t="n">
        <v>0.528309611520429</v>
      </c>
      <c r="H146" s="9" t="n">
        <v>0.676289685197589</v>
      </c>
      <c r="I146" s="9" t="n">
        <v>0.0984676825184192</v>
      </c>
      <c r="J146" s="10" t="n">
        <v>4.07960482250502</v>
      </c>
      <c r="K146" s="10" t="n">
        <v>13.4935699933021</v>
      </c>
      <c r="L146" s="10" t="n">
        <v>1.76522103148024</v>
      </c>
      <c r="M146" s="10" t="n">
        <v>0.549933020763563</v>
      </c>
      <c r="N146" s="10" t="n">
        <v>12.1465673141326</v>
      </c>
      <c r="O146" s="10" t="n">
        <v>15.5507535164099</v>
      </c>
      <c r="P146" s="11" t="n">
        <v>21.9558823529412</v>
      </c>
      <c r="Q146" s="8" t="n">
        <v>1.71044876088413</v>
      </c>
      <c r="R146" s="8" t="n">
        <v>6.43712324179504</v>
      </c>
      <c r="S146" s="9" t="n">
        <v>-0.368</v>
      </c>
      <c r="T146" s="9" t="n">
        <v>0.578</v>
      </c>
    </row>
    <row r="147" customFormat="false" ht="15" hidden="false" customHeight="true" outlineLevel="0" collapsed="false">
      <c r="A147" s="7" t="n">
        <v>1629234</v>
      </c>
      <c r="B147" s="7" t="s">
        <v>188</v>
      </c>
      <c r="C147" s="8" t="n">
        <v>327</v>
      </c>
      <c r="D147" s="8" t="n">
        <v>5296</v>
      </c>
      <c r="E147" s="8" t="n">
        <v>21766</v>
      </c>
      <c r="F147" s="9" t="n">
        <v>-3.892</v>
      </c>
      <c r="G147" s="9" t="n">
        <v>0.642226397280967</v>
      </c>
      <c r="H147" s="9" t="n">
        <v>0.0424320241691842</v>
      </c>
      <c r="I147" s="9" t="n">
        <v>0.364968655589124</v>
      </c>
      <c r="J147" s="10" t="n">
        <v>15.5372922960725</v>
      </c>
      <c r="K147" s="10" t="n">
        <v>8.72955060422961</v>
      </c>
      <c r="L147" s="10" t="n">
        <v>1.13200528700906</v>
      </c>
      <c r="M147" s="10" t="n">
        <v>4.53092900302115</v>
      </c>
      <c r="N147" s="10" t="n">
        <v>15.58041918429</v>
      </c>
      <c r="O147" s="10" t="n">
        <v>14.5922394259819</v>
      </c>
      <c r="P147" s="11" t="n">
        <v>16.1957186544343</v>
      </c>
      <c r="Q147" s="8" t="n">
        <v>9.80122734138973</v>
      </c>
      <c r="R147" s="8" t="n">
        <v>21.2087802114804</v>
      </c>
      <c r="S147" s="9" t="n">
        <v>-2.549</v>
      </c>
      <c r="T147" s="9" t="n">
        <v>-1.343</v>
      </c>
    </row>
    <row r="148" customFormat="false" ht="15" hidden="false" customHeight="true" outlineLevel="0" collapsed="false">
      <c r="A148" s="7" t="n">
        <v>1629312</v>
      </c>
      <c r="B148" s="7" t="s">
        <v>189</v>
      </c>
      <c r="C148" s="8" t="n">
        <v>220</v>
      </c>
      <c r="D148" s="8" t="n">
        <v>4407</v>
      </c>
      <c r="E148" s="8" t="n">
        <v>19136</v>
      </c>
      <c r="F148" s="9" t="n">
        <v>-3.362</v>
      </c>
      <c r="G148" s="9" t="n">
        <v>0.567675516224189</v>
      </c>
      <c r="H148" s="9" t="n">
        <v>0.573020875879283</v>
      </c>
      <c r="I148" s="9" t="n">
        <v>0.118056501021103</v>
      </c>
      <c r="J148" s="10" t="n">
        <v>8.87572044474699</v>
      </c>
      <c r="K148" s="10" t="n">
        <v>7.46975266621285</v>
      </c>
      <c r="L148" s="10" t="n">
        <v>1.85811209439528</v>
      </c>
      <c r="M148" s="10" t="n">
        <v>1.94202405264352</v>
      </c>
      <c r="N148" s="10" t="n">
        <v>11.4211481733606</v>
      </c>
      <c r="O148" s="10" t="n">
        <v>12.023258452462</v>
      </c>
      <c r="P148" s="11" t="n">
        <v>20.0318181818182</v>
      </c>
      <c r="Q148" s="8" t="n">
        <v>5.34029952348536</v>
      </c>
      <c r="R148" s="8" t="n">
        <v>12.3966643975494</v>
      </c>
      <c r="S148" s="9" t="n">
        <v>-3.121</v>
      </c>
      <c r="T148" s="9" t="n">
        <v>-0.241</v>
      </c>
    </row>
    <row r="149" customFormat="false" ht="15" hidden="false" customHeight="true" outlineLevel="0" collapsed="false">
      <c r="A149" s="7" t="n">
        <v>1629599</v>
      </c>
      <c r="B149" s="7" t="s">
        <v>190</v>
      </c>
      <c r="C149" s="8" t="n">
        <v>307</v>
      </c>
      <c r="D149" s="8" t="n">
        <v>5890</v>
      </c>
      <c r="E149" s="8" t="n">
        <v>24442</v>
      </c>
      <c r="F149" s="9" t="n">
        <v>-2.751</v>
      </c>
      <c r="G149" s="9" t="n">
        <v>0.593291680814941</v>
      </c>
      <c r="H149" s="9" t="n">
        <v>0.483665025466893</v>
      </c>
      <c r="I149" s="9" t="n">
        <v>0.258616468590832</v>
      </c>
      <c r="J149" s="10" t="n">
        <v>5.77809847198642</v>
      </c>
      <c r="K149" s="10" t="n">
        <v>8.34118845500849</v>
      </c>
      <c r="L149" s="10" t="n">
        <v>1.12066213921902</v>
      </c>
      <c r="M149" s="10" t="n">
        <v>0.712105263157895</v>
      </c>
      <c r="N149" s="10" t="n">
        <v>7.98611205432937</v>
      </c>
      <c r="O149" s="10" t="n">
        <v>14.2651103565365</v>
      </c>
      <c r="P149" s="11" t="n">
        <v>19.185667752443</v>
      </c>
      <c r="Q149" s="8" t="n">
        <v>2.35057724957555</v>
      </c>
      <c r="R149" s="8" t="n">
        <v>9.03056027164686</v>
      </c>
      <c r="S149" s="9" t="n">
        <v>-1.473</v>
      </c>
      <c r="T149" s="9" t="n">
        <v>-1.278</v>
      </c>
    </row>
    <row r="150" customFormat="false" ht="15" hidden="false" customHeight="true" outlineLevel="0" collapsed="false">
      <c r="A150" s="7" t="n">
        <v>1629611</v>
      </c>
      <c r="B150" s="7" t="s">
        <v>191</v>
      </c>
      <c r="C150" s="8" t="n">
        <v>367</v>
      </c>
      <c r="D150" s="8" t="n">
        <v>9005</v>
      </c>
      <c r="E150" s="8" t="n">
        <v>37543</v>
      </c>
      <c r="F150" s="9" t="n">
        <v>-0.521</v>
      </c>
      <c r="G150" s="9" t="n">
        <v>0.591240310938368</v>
      </c>
      <c r="H150" s="9" t="n">
        <v>0.375136812881732</v>
      </c>
      <c r="I150" s="9" t="n">
        <v>0.210909272626319</v>
      </c>
      <c r="J150" s="10" t="n">
        <v>8.33805663520267</v>
      </c>
      <c r="K150" s="10" t="n">
        <v>13.044353137146</v>
      </c>
      <c r="L150" s="10" t="n">
        <v>1.23820099944475</v>
      </c>
      <c r="M150" s="10" t="n">
        <v>0.869161576901721</v>
      </c>
      <c r="N150" s="10" t="n">
        <v>10.8433870072182</v>
      </c>
      <c r="O150" s="10" t="n">
        <v>14.7266740699611</v>
      </c>
      <c r="P150" s="11" t="n">
        <v>24.5367847411444</v>
      </c>
      <c r="Q150" s="8" t="n">
        <v>5.04220988339811</v>
      </c>
      <c r="R150" s="8" t="n">
        <v>11.5658967240422</v>
      </c>
      <c r="S150" s="9" t="n">
        <v>0.407</v>
      </c>
      <c r="T150" s="9" t="n">
        <v>-0.928</v>
      </c>
    </row>
    <row r="151" customFormat="false" ht="15" hidden="false" customHeight="true" outlineLevel="0" collapsed="false">
      <c r="A151" s="7" t="n">
        <v>1629622</v>
      </c>
      <c r="B151" s="7" t="s">
        <v>192</v>
      </c>
      <c r="C151" s="8" t="n">
        <v>280</v>
      </c>
      <c r="D151" s="8" t="n">
        <v>7659</v>
      </c>
      <c r="E151" s="8" t="n">
        <v>39805</v>
      </c>
      <c r="F151" s="9" t="n">
        <v>-0.476</v>
      </c>
      <c r="G151" s="9" t="n">
        <v>0.577907298602951</v>
      </c>
      <c r="H151" s="9" t="n">
        <v>0.726060321190756</v>
      </c>
      <c r="I151" s="9" t="n">
        <v>0.110200287243766</v>
      </c>
      <c r="J151" s="10" t="n">
        <v>7.95966836401619</v>
      </c>
      <c r="K151" s="10" t="n">
        <v>13.2210340775558</v>
      </c>
      <c r="L151" s="10" t="n">
        <v>1.04774774774775</v>
      </c>
      <c r="M151" s="10" t="n">
        <v>0.876641859250555</v>
      </c>
      <c r="N151" s="10" t="n">
        <v>10.1634547591069</v>
      </c>
      <c r="O151" s="10" t="n">
        <v>17.1556077816947</v>
      </c>
      <c r="P151" s="11" t="n">
        <v>27.3535714285714</v>
      </c>
      <c r="Q151" s="8" t="n">
        <v>2.95431518474997</v>
      </c>
      <c r="R151" s="8" t="n">
        <v>12.9204334769552</v>
      </c>
      <c r="S151" s="9" t="n">
        <v>0.114</v>
      </c>
      <c r="T151" s="9" t="n">
        <v>-0.589</v>
      </c>
    </row>
    <row r="152" customFormat="false" ht="15" hidden="false" customHeight="true" outlineLevel="0" collapsed="false">
      <c r="A152" s="7" t="n">
        <v>1629628</v>
      </c>
      <c r="B152" s="7" t="s">
        <v>193</v>
      </c>
      <c r="C152" s="8" t="n">
        <v>316</v>
      </c>
      <c r="D152" s="8" t="n">
        <v>10325</v>
      </c>
      <c r="E152" s="8" t="n">
        <v>44793</v>
      </c>
      <c r="F152" s="9" t="n">
        <v>-1.286</v>
      </c>
      <c r="G152" s="9" t="n">
        <v>0.54696416464891</v>
      </c>
      <c r="H152" s="9" t="n">
        <v>0.323747021791768</v>
      </c>
      <c r="I152" s="9" t="n">
        <v>0.332890847457627</v>
      </c>
      <c r="J152" s="10" t="n">
        <v>9.34262469733656</v>
      </c>
      <c r="K152" s="10" t="n">
        <v>17.1833801452785</v>
      </c>
      <c r="L152" s="10" t="n">
        <v>0.914740920096852</v>
      </c>
      <c r="M152" s="10" t="n">
        <v>0.850305084745763</v>
      </c>
      <c r="N152" s="10" t="n">
        <v>10.8055399515739</v>
      </c>
      <c r="O152" s="10" t="n">
        <v>26.966808716707</v>
      </c>
      <c r="P152" s="11" t="n">
        <v>32.6740506329114</v>
      </c>
      <c r="Q152" s="8" t="n">
        <v>3.09518644067797</v>
      </c>
      <c r="R152" s="8" t="n">
        <v>15.7257046004843</v>
      </c>
      <c r="S152" s="9" t="n">
        <v>0.291</v>
      </c>
      <c r="T152" s="9" t="n">
        <v>-1.577</v>
      </c>
    </row>
    <row r="153" customFormat="false" ht="15" hidden="false" customHeight="true" outlineLevel="0" collapsed="false">
      <c r="A153" s="7" t="n">
        <v>1629630</v>
      </c>
      <c r="B153" s="7" t="s">
        <v>194</v>
      </c>
      <c r="C153" s="8" t="n">
        <v>197</v>
      </c>
      <c r="D153" s="8" t="n">
        <v>6243</v>
      </c>
      <c r="E153" s="8" t="n">
        <v>28919</v>
      </c>
      <c r="F153" s="9" t="n">
        <v>1.596</v>
      </c>
      <c r="G153" s="9" t="n">
        <v>0.561287361845267</v>
      </c>
      <c r="H153" s="9" t="n">
        <v>0.260479416946981</v>
      </c>
      <c r="I153" s="9" t="n">
        <v>0.374016498478296</v>
      </c>
      <c r="J153" s="10" t="n">
        <v>8.48055422072722</v>
      </c>
      <c r="K153" s="10" t="n">
        <v>38.1616530514176</v>
      </c>
      <c r="L153" s="10" t="n">
        <v>1.686897325004</v>
      </c>
      <c r="M153" s="10" t="n">
        <v>0.858865929841422</v>
      </c>
      <c r="N153" s="10" t="n">
        <v>13.5119333653692</v>
      </c>
      <c r="O153" s="10" t="n">
        <v>33.4320038443056</v>
      </c>
      <c r="P153" s="11" t="n">
        <v>31.6903553299492</v>
      </c>
      <c r="Q153" s="8" t="n">
        <v>3.12306583373378</v>
      </c>
      <c r="R153" s="8" t="n">
        <v>13.9684927118373</v>
      </c>
      <c r="S153" s="9" t="n">
        <v>1.313</v>
      </c>
      <c r="T153" s="9" t="n">
        <v>0.283</v>
      </c>
    </row>
    <row r="154" customFormat="false" ht="15" hidden="false" customHeight="true" outlineLevel="0" collapsed="false">
      <c r="A154" s="7" t="n">
        <v>1629631</v>
      </c>
      <c r="B154" s="7" t="s">
        <v>195</v>
      </c>
      <c r="C154" s="8" t="n">
        <v>286</v>
      </c>
      <c r="D154" s="8" t="n">
        <v>8300</v>
      </c>
      <c r="E154" s="8" t="n">
        <v>37076</v>
      </c>
      <c r="F154" s="9" t="n">
        <v>-0.903</v>
      </c>
      <c r="G154" s="9" t="n">
        <v>0.576468915662651</v>
      </c>
      <c r="H154" s="9" t="n">
        <v>0.422783855421687</v>
      </c>
      <c r="I154" s="9" t="n">
        <v>0.289597710843374</v>
      </c>
      <c r="J154" s="10" t="n">
        <v>7.41781927710843</v>
      </c>
      <c r="K154" s="10" t="n">
        <v>7.24850602409639</v>
      </c>
      <c r="L154" s="10" t="n">
        <v>1.10021686746988</v>
      </c>
      <c r="M154" s="10" t="n">
        <v>0.807168674698795</v>
      </c>
      <c r="N154" s="10" t="n">
        <v>9.41031325301205</v>
      </c>
      <c r="O154" s="10" t="n">
        <v>21.0235542168675</v>
      </c>
      <c r="P154" s="11" t="n">
        <v>29.020979020979</v>
      </c>
      <c r="Q154" s="8" t="n">
        <v>2.27868674698795</v>
      </c>
      <c r="R154" s="8" t="n">
        <v>12.6284457831325</v>
      </c>
      <c r="S154" s="9" t="n">
        <v>0.179</v>
      </c>
      <c r="T154" s="9" t="n">
        <v>-1.082</v>
      </c>
    </row>
    <row r="155" customFormat="false" ht="15" hidden="false" customHeight="true" outlineLevel="0" collapsed="false">
      <c r="A155" s="7" t="n">
        <v>1629632</v>
      </c>
      <c r="B155" s="7" t="s">
        <v>196</v>
      </c>
      <c r="C155" s="8" t="n">
        <v>338</v>
      </c>
      <c r="D155" s="8" t="n">
        <v>9985</v>
      </c>
      <c r="E155" s="8" t="n">
        <v>41391</v>
      </c>
      <c r="F155" s="9" t="n">
        <v>1.897</v>
      </c>
      <c r="G155" s="9" t="n">
        <v>0.580073610415623</v>
      </c>
      <c r="H155" s="9" t="n">
        <v>0.516601902854281</v>
      </c>
      <c r="I155" s="9" t="n">
        <v>0.221771957936905</v>
      </c>
      <c r="J155" s="10" t="n">
        <v>6.55843765648473</v>
      </c>
      <c r="K155" s="10" t="n">
        <v>19.228743114672</v>
      </c>
      <c r="L155" s="10" t="n">
        <v>1.08532799198798</v>
      </c>
      <c r="M155" s="10" t="n">
        <v>0.52300450676014</v>
      </c>
      <c r="N155" s="10" t="n">
        <v>11.5057285928893</v>
      </c>
      <c r="O155" s="10" t="n">
        <v>22.5620330495744</v>
      </c>
      <c r="P155" s="11" t="n">
        <v>29.5414201183432</v>
      </c>
      <c r="Q155" s="8" t="n">
        <v>1.32315473209815</v>
      </c>
      <c r="R155" s="8" t="n">
        <v>11.7966249374061</v>
      </c>
      <c r="S155" s="9" t="n">
        <v>3.294</v>
      </c>
      <c r="T155" s="9" t="n">
        <v>-1.397</v>
      </c>
    </row>
    <row r="156" customFormat="false" ht="15" hidden="false" customHeight="true" outlineLevel="0" collapsed="false">
      <c r="A156" s="7" t="n">
        <v>1629634</v>
      </c>
      <c r="B156" s="7" t="s">
        <v>197</v>
      </c>
      <c r="C156" s="8" t="n">
        <v>192</v>
      </c>
      <c r="D156" s="8" t="n">
        <v>3697</v>
      </c>
      <c r="E156" s="8" t="n">
        <v>16900</v>
      </c>
      <c r="F156" s="9" t="n">
        <v>2.265</v>
      </c>
      <c r="G156" s="9" t="n">
        <v>0.653686232080065</v>
      </c>
      <c r="H156" s="9" t="n">
        <v>0.0399153367595347</v>
      </c>
      <c r="I156" s="9" t="n">
        <v>0.295424668650257</v>
      </c>
      <c r="J156" s="10" t="n">
        <v>14.5363538003787</v>
      </c>
      <c r="K156" s="10" t="n">
        <v>9.16889369759264</v>
      </c>
      <c r="L156" s="10" t="n">
        <v>1.69142548011902</v>
      </c>
      <c r="M156" s="10" t="n">
        <v>3.59916148228293</v>
      </c>
      <c r="N156" s="10" t="n">
        <v>8.6747362726535</v>
      </c>
      <c r="O156" s="10" t="n">
        <v>17.0542331620233</v>
      </c>
      <c r="P156" s="11" t="n">
        <v>19.2552083333333</v>
      </c>
      <c r="Q156" s="8" t="n">
        <v>10.5687043548823</v>
      </c>
      <c r="R156" s="8" t="n">
        <v>18.544414390046</v>
      </c>
      <c r="S156" s="9" t="n">
        <v>0.795</v>
      </c>
      <c r="T156" s="9" t="n">
        <v>1.469</v>
      </c>
    </row>
    <row r="157" customFormat="false" ht="15" hidden="false" customHeight="true" outlineLevel="0" collapsed="false">
      <c r="A157" s="7" t="n">
        <v>1629636</v>
      </c>
      <c r="B157" s="7" t="s">
        <v>198</v>
      </c>
      <c r="C157" s="8" t="n">
        <v>314</v>
      </c>
      <c r="D157" s="8" t="n">
        <v>10423</v>
      </c>
      <c r="E157" s="8" t="n">
        <v>44884</v>
      </c>
      <c r="F157" s="9" t="n">
        <v>2.22</v>
      </c>
      <c r="G157" s="9" t="n">
        <v>0.581736256356135</v>
      </c>
      <c r="H157" s="9" t="n">
        <v>0.411684831622374</v>
      </c>
      <c r="I157" s="9" t="n">
        <v>0.223777319389811</v>
      </c>
      <c r="J157" s="10" t="n">
        <v>4.75026383958553</v>
      </c>
      <c r="K157" s="10" t="n">
        <v>34.2787009498225</v>
      </c>
      <c r="L157" s="10" t="n">
        <v>1.79104864242541</v>
      </c>
      <c r="M157" s="10" t="n">
        <v>0.360759858006332</v>
      </c>
      <c r="N157" s="10" t="n">
        <v>14.6683488439029</v>
      </c>
      <c r="O157" s="10" t="n">
        <v>26.9487095845726</v>
      </c>
      <c r="P157" s="11" t="n">
        <v>33.1942675159236</v>
      </c>
      <c r="Q157" s="8" t="n">
        <v>1.75431257795261</v>
      </c>
      <c r="R157" s="8" t="n">
        <v>7.62290127602418</v>
      </c>
      <c r="S157" s="9" t="n">
        <v>2.53</v>
      </c>
      <c r="T157" s="9" t="n">
        <v>-0.309</v>
      </c>
    </row>
    <row r="158" customFormat="false" ht="15" hidden="false" customHeight="true" outlineLevel="0" collapsed="false">
      <c r="A158" s="7" t="n">
        <v>1629637</v>
      </c>
      <c r="B158" s="7" t="s">
        <v>199</v>
      </c>
      <c r="C158" s="8" t="n">
        <v>309</v>
      </c>
      <c r="D158" s="8" t="n">
        <v>5185</v>
      </c>
      <c r="E158" s="8" t="n">
        <v>22362</v>
      </c>
      <c r="F158" s="9" t="n">
        <v>-2.302</v>
      </c>
      <c r="G158" s="9" t="n">
        <v>0.70419324975892</v>
      </c>
      <c r="H158" s="9" t="n">
        <v>0.0735201542912246</v>
      </c>
      <c r="I158" s="9" t="n">
        <v>0.495106460945034</v>
      </c>
      <c r="J158" s="10" t="n">
        <v>13.0867695274831</v>
      </c>
      <c r="K158" s="10" t="n">
        <v>6.20605593056895</v>
      </c>
      <c r="L158" s="10" t="n">
        <v>1.39070395371263</v>
      </c>
      <c r="M158" s="10" t="n">
        <v>3.72669238187078</v>
      </c>
      <c r="N158" s="10" t="n">
        <v>12.1490838958534</v>
      </c>
      <c r="O158" s="10" t="n">
        <v>14.0233172613308</v>
      </c>
      <c r="P158" s="11" t="n">
        <v>16.7799352750809</v>
      </c>
      <c r="Q158" s="8" t="n">
        <v>8.89209257473481</v>
      </c>
      <c r="R158" s="8" t="n">
        <v>17.0696817743491</v>
      </c>
      <c r="S158" s="9" t="n">
        <v>-2.465</v>
      </c>
      <c r="T158" s="9" t="n">
        <v>0.163</v>
      </c>
    </row>
    <row r="159" customFormat="false" ht="15" hidden="false" customHeight="true" outlineLevel="0" collapsed="false">
      <c r="A159" s="7" t="n">
        <v>1629638</v>
      </c>
      <c r="B159" s="7" t="s">
        <v>200</v>
      </c>
      <c r="C159" s="8" t="n">
        <v>366</v>
      </c>
      <c r="D159" s="8" t="n">
        <v>8947</v>
      </c>
      <c r="E159" s="8" t="n">
        <v>41246</v>
      </c>
      <c r="F159" s="9" t="n">
        <v>2.076</v>
      </c>
      <c r="G159" s="9" t="n">
        <v>0.569380239186319</v>
      </c>
      <c r="H159" s="9" t="n">
        <v>0.560736783279312</v>
      </c>
      <c r="I159" s="9" t="n">
        <v>0.191510003353079</v>
      </c>
      <c r="J159" s="10" t="n">
        <v>6.11219403151895</v>
      </c>
      <c r="K159" s="10" t="n">
        <v>15.4736000894154</v>
      </c>
      <c r="L159" s="10" t="n">
        <v>1.58809656868224</v>
      </c>
      <c r="M159" s="10" t="n">
        <v>1.63528557058232</v>
      </c>
      <c r="N159" s="10" t="n">
        <v>11.987750083827</v>
      </c>
      <c r="O159" s="10" t="n">
        <v>19.5556834693193</v>
      </c>
      <c r="P159" s="11" t="n">
        <v>24.4453551912568</v>
      </c>
      <c r="Q159" s="8" t="n">
        <v>2.38538057449424</v>
      </c>
      <c r="R159" s="8" t="n">
        <v>9.7514362356097</v>
      </c>
      <c r="S159" s="9" t="n">
        <v>1.618</v>
      </c>
      <c r="T159" s="9" t="n">
        <v>0.458</v>
      </c>
    </row>
    <row r="160" customFormat="false" ht="15" hidden="false" customHeight="true" outlineLevel="0" collapsed="false">
      <c r="A160" s="7" t="n">
        <v>1629639</v>
      </c>
      <c r="B160" s="7" t="s">
        <v>201</v>
      </c>
      <c r="C160" s="8" t="n">
        <v>285</v>
      </c>
      <c r="D160" s="8" t="n">
        <v>9653</v>
      </c>
      <c r="E160" s="8" t="n">
        <v>41625</v>
      </c>
      <c r="F160" s="9" t="n">
        <v>0.569</v>
      </c>
      <c r="G160" s="9" t="n">
        <v>0.578581788045167</v>
      </c>
      <c r="H160" s="9" t="n">
        <v>0.453650989329742</v>
      </c>
      <c r="I160" s="9" t="n">
        <v>0.194543147208122</v>
      </c>
      <c r="J160" s="10" t="n">
        <v>8.54679374287786</v>
      </c>
      <c r="K160" s="10" t="n">
        <v>22.2442867502331</v>
      </c>
      <c r="L160" s="10" t="n">
        <v>1.12347456749197</v>
      </c>
      <c r="M160" s="10" t="n">
        <v>0.564145861390242</v>
      </c>
      <c r="N160" s="10" t="n">
        <v>11.500953071584</v>
      </c>
      <c r="O160" s="10" t="n">
        <v>27.2149280016575</v>
      </c>
      <c r="P160" s="11" t="n">
        <v>33.8701754385965</v>
      </c>
      <c r="Q160" s="8" t="n">
        <v>1.45721537345903</v>
      </c>
      <c r="R160" s="8" t="n">
        <v>15.7088780689941</v>
      </c>
      <c r="S160" s="9" t="n">
        <v>2.134</v>
      </c>
      <c r="T160" s="9" t="n">
        <v>-1.564</v>
      </c>
    </row>
    <row r="161" customFormat="false" ht="15" hidden="false" customHeight="true" outlineLevel="0" collapsed="false">
      <c r="A161" s="7" t="n">
        <v>1629640</v>
      </c>
      <c r="B161" s="7" t="s">
        <v>202</v>
      </c>
      <c r="C161" s="8" t="n">
        <v>366</v>
      </c>
      <c r="D161" s="8" t="n">
        <v>10242</v>
      </c>
      <c r="E161" s="8" t="n">
        <v>44365</v>
      </c>
      <c r="F161" s="9" t="n">
        <v>-1.485</v>
      </c>
      <c r="G161" s="9" t="n">
        <v>0.574494239406366</v>
      </c>
      <c r="H161" s="9" t="n">
        <v>0.378625951962507</v>
      </c>
      <c r="I161" s="9" t="n">
        <v>0.25467203671158</v>
      </c>
      <c r="J161" s="10" t="n">
        <v>10.2690880687366</v>
      </c>
      <c r="K161" s="10" t="n">
        <v>11.2202499511814</v>
      </c>
      <c r="L161" s="10" t="n">
        <v>1.19780316344464</v>
      </c>
      <c r="M161" s="10" t="n">
        <v>0.647227104081234</v>
      </c>
      <c r="N161" s="10" t="n">
        <v>8.44932630345636</v>
      </c>
      <c r="O161" s="10" t="n">
        <v>22.7466608084359</v>
      </c>
      <c r="P161" s="11" t="n">
        <v>27.9836065573771</v>
      </c>
      <c r="Q161" s="8" t="n">
        <v>5.0369654364382</v>
      </c>
      <c r="R161" s="8" t="n">
        <v>15.6125561413786</v>
      </c>
      <c r="S161" s="9" t="n">
        <v>0.085</v>
      </c>
      <c r="T161" s="9" t="n">
        <v>-1.57</v>
      </c>
    </row>
    <row r="162" customFormat="false" ht="15" hidden="false" customHeight="true" outlineLevel="0" collapsed="false">
      <c r="A162" s="7" t="n">
        <v>1629651</v>
      </c>
      <c r="B162" s="7" t="s">
        <v>203</v>
      </c>
      <c r="C162" s="8" t="n">
        <v>333</v>
      </c>
      <c r="D162" s="8" t="n">
        <v>9163</v>
      </c>
      <c r="E162" s="8" t="n">
        <v>37670</v>
      </c>
      <c r="F162" s="9" t="n">
        <v>-1.766</v>
      </c>
      <c r="G162" s="9" t="n">
        <v>0.628860744297719</v>
      </c>
      <c r="H162" s="9" t="n">
        <v>0.0173361344537815</v>
      </c>
      <c r="I162" s="9" t="n">
        <v>0.357096038415366</v>
      </c>
      <c r="J162" s="10" t="n">
        <v>16.3104660045837</v>
      </c>
      <c r="K162" s="10" t="n">
        <v>12.768711120812</v>
      </c>
      <c r="L162" s="10" t="n">
        <v>1.30863254392666</v>
      </c>
      <c r="M162" s="10" t="n">
        <v>5.55491651205937</v>
      </c>
      <c r="N162" s="10" t="n">
        <v>12.0381643566518</v>
      </c>
      <c r="O162" s="10" t="n">
        <v>16.1837826039507</v>
      </c>
      <c r="P162" s="11" t="n">
        <v>27.5165165165165</v>
      </c>
      <c r="Q162" s="8" t="n">
        <v>9.51054239877769</v>
      </c>
      <c r="R162" s="8" t="n">
        <v>23.3664629488159</v>
      </c>
      <c r="S162" s="9" t="n">
        <v>-2.355</v>
      </c>
      <c r="T162" s="9" t="n">
        <v>0.589</v>
      </c>
    </row>
    <row r="163" customFormat="false" ht="15" hidden="false" customHeight="true" outlineLevel="0" collapsed="false">
      <c r="A163" s="7" t="n">
        <v>1629652</v>
      </c>
      <c r="B163" s="7" t="s">
        <v>204</v>
      </c>
      <c r="C163" s="8" t="n">
        <v>344</v>
      </c>
      <c r="D163" s="8" t="n">
        <v>10105</v>
      </c>
      <c r="E163" s="8" t="n">
        <v>47755</v>
      </c>
      <c r="F163" s="9" t="n">
        <v>-1.364</v>
      </c>
      <c r="G163" s="9" t="n">
        <v>0.552383275606136</v>
      </c>
      <c r="H163" s="9" t="n">
        <v>0.600758733300346</v>
      </c>
      <c r="I163" s="9" t="n">
        <v>0.19887857496289</v>
      </c>
      <c r="J163" s="10" t="n">
        <v>7.32462147451757</v>
      </c>
      <c r="K163" s="10" t="n">
        <v>7.38090054428501</v>
      </c>
      <c r="L163" s="10" t="n">
        <v>1.5693715982187</v>
      </c>
      <c r="M163" s="10" t="n">
        <v>1.43537852548243</v>
      </c>
      <c r="N163" s="10" t="n">
        <v>8.80108857001485</v>
      </c>
      <c r="O163" s="10" t="n">
        <v>17.0838396833251</v>
      </c>
      <c r="P163" s="11" t="n">
        <v>29.375</v>
      </c>
      <c r="Q163" s="8" t="n">
        <v>4.13644730331519</v>
      </c>
      <c r="R163" s="8" t="n">
        <v>10.427857496289</v>
      </c>
      <c r="S163" s="9" t="n">
        <v>-1.72</v>
      </c>
      <c r="T163" s="9" t="n">
        <v>0.356</v>
      </c>
    </row>
    <row r="164" customFormat="false" ht="15" hidden="false" customHeight="true" outlineLevel="0" collapsed="false">
      <c r="A164" s="7" t="n">
        <v>1629655</v>
      </c>
      <c r="B164" s="7" t="s">
        <v>205</v>
      </c>
      <c r="C164" s="8" t="n">
        <v>336</v>
      </c>
      <c r="D164" s="8" t="n">
        <v>7284</v>
      </c>
      <c r="E164" s="8" t="n">
        <v>31793</v>
      </c>
      <c r="F164" s="9" t="n">
        <v>-0.407</v>
      </c>
      <c r="G164" s="9" t="n">
        <v>0.716818231740802</v>
      </c>
      <c r="H164" s="9" t="n">
        <v>0.0003964854475562</v>
      </c>
      <c r="I164" s="9" t="n">
        <v>0.434160626029654</v>
      </c>
      <c r="J164" s="10" t="n">
        <v>16.1917353102691</v>
      </c>
      <c r="K164" s="10" t="n">
        <v>8.23145249862713</v>
      </c>
      <c r="L164" s="10" t="n">
        <v>1.27243272926963</v>
      </c>
      <c r="M164" s="10" t="n">
        <v>6.06295991213619</v>
      </c>
      <c r="N164" s="10" t="n">
        <v>12.9191790225151</v>
      </c>
      <c r="O164" s="10" t="n">
        <v>16.1949615595827</v>
      </c>
      <c r="P164" s="11" t="n">
        <v>21.6785714285714</v>
      </c>
      <c r="Q164" s="8" t="n">
        <v>12.206933003844</v>
      </c>
      <c r="R164" s="8" t="n">
        <v>20.115568369028</v>
      </c>
      <c r="S164" s="9" t="n">
        <v>-0.233</v>
      </c>
      <c r="T164" s="9" t="n">
        <v>-0.174</v>
      </c>
    </row>
    <row r="165" customFormat="false" ht="15" hidden="false" customHeight="true" outlineLevel="0" collapsed="false">
      <c r="A165" s="7" t="n">
        <v>1629656</v>
      </c>
      <c r="B165" s="7" t="s">
        <v>206</v>
      </c>
      <c r="C165" s="8" t="n">
        <v>318</v>
      </c>
      <c r="D165" s="8" t="n">
        <v>8151</v>
      </c>
      <c r="E165" s="8" t="n">
        <v>34932</v>
      </c>
      <c r="F165" s="9" t="n">
        <v>-2.064</v>
      </c>
      <c r="G165" s="9" t="n">
        <v>0.585711446448289</v>
      </c>
      <c r="H165" s="9" t="n">
        <v>0.608062078272605</v>
      </c>
      <c r="I165" s="9" t="n">
        <v>0.216645564961354</v>
      </c>
      <c r="J165" s="10" t="n">
        <v>6.85531836584468</v>
      </c>
      <c r="K165" s="10" t="n">
        <v>13.0580910317752</v>
      </c>
      <c r="L165" s="10" t="n">
        <v>1.5163047478837</v>
      </c>
      <c r="M165" s="10" t="n">
        <v>1.09444239970556</v>
      </c>
      <c r="N165" s="10" t="n">
        <v>11.371647650595</v>
      </c>
      <c r="O165" s="10" t="n">
        <v>17.9629984051037</v>
      </c>
      <c r="P165" s="11" t="n">
        <v>25.6320754716981</v>
      </c>
      <c r="Q165" s="8" t="n">
        <v>2.54600662495399</v>
      </c>
      <c r="R165" s="8" t="n">
        <v>11.2761869709238</v>
      </c>
      <c r="S165" s="9" t="n">
        <v>-1.945</v>
      </c>
      <c r="T165" s="9" t="n">
        <v>-0.119</v>
      </c>
    </row>
    <row r="166" customFormat="false" ht="15" hidden="false" customHeight="true" outlineLevel="0" collapsed="false">
      <c r="A166" s="7" t="n">
        <v>1629660</v>
      </c>
      <c r="B166" s="7" t="s">
        <v>207</v>
      </c>
      <c r="C166" s="8" t="n">
        <v>180</v>
      </c>
      <c r="D166" s="8" t="n">
        <v>3364</v>
      </c>
      <c r="E166" s="8" t="n">
        <v>14504</v>
      </c>
      <c r="F166" s="9" t="n">
        <v>1.564</v>
      </c>
      <c r="G166" s="9" t="n">
        <v>0.590848692033294</v>
      </c>
      <c r="H166" s="9" t="n">
        <v>0.442580558858502</v>
      </c>
      <c r="I166" s="9" t="n">
        <v>0.200212247324614</v>
      </c>
      <c r="J166" s="10" t="n">
        <v>5.94224137931035</v>
      </c>
      <c r="K166" s="10" t="n">
        <v>25.2241379310345</v>
      </c>
      <c r="L166" s="10" t="n">
        <v>2.08368014268728</v>
      </c>
      <c r="M166" s="10" t="n">
        <v>0.45781807372176</v>
      </c>
      <c r="N166" s="10" t="n">
        <v>10.8189655172414</v>
      </c>
      <c r="O166" s="10" t="n">
        <v>21.7002972651605</v>
      </c>
      <c r="P166" s="11" t="n">
        <v>18.6888888888889</v>
      </c>
      <c r="Q166" s="8" t="n">
        <v>2.8569857312723</v>
      </c>
      <c r="R166" s="8" t="n">
        <v>8.98243162901308</v>
      </c>
      <c r="S166" s="9" t="n">
        <v>2.142</v>
      </c>
      <c r="T166" s="9" t="n">
        <v>-0.578</v>
      </c>
    </row>
    <row r="167" customFormat="false" ht="15" hidden="false" customHeight="true" outlineLevel="0" collapsed="false">
      <c r="A167" s="7" t="n">
        <v>1629661</v>
      </c>
      <c r="B167" s="7" t="s">
        <v>208</v>
      </c>
      <c r="C167" s="8" t="n">
        <v>277</v>
      </c>
      <c r="D167" s="8" t="n">
        <v>7975</v>
      </c>
      <c r="E167" s="8" t="n">
        <v>34928</v>
      </c>
      <c r="F167" s="9" t="n">
        <v>2.204</v>
      </c>
      <c r="G167" s="9" t="n">
        <v>0.617581692789969</v>
      </c>
      <c r="H167" s="9" t="n">
        <v>0.569422570532916</v>
      </c>
      <c r="I167" s="9" t="n">
        <v>0.23078407523511</v>
      </c>
      <c r="J167" s="10" t="n">
        <v>8.06731034482759</v>
      </c>
      <c r="K167" s="10" t="n">
        <v>12.064789968652</v>
      </c>
      <c r="L167" s="10" t="n">
        <v>1.53490909090909</v>
      </c>
      <c r="M167" s="10" t="n">
        <v>1.04810031347962</v>
      </c>
      <c r="N167" s="10" t="n">
        <v>8.09302821316615</v>
      </c>
      <c r="O167" s="10" t="n">
        <v>19.1102821316614</v>
      </c>
      <c r="P167" s="11" t="n">
        <v>28.7906137184116</v>
      </c>
      <c r="Q167" s="8" t="n">
        <v>3.19370532915361</v>
      </c>
      <c r="R167" s="8" t="n">
        <v>12.9868840125392</v>
      </c>
      <c r="S167" s="9" t="n">
        <v>1.646</v>
      </c>
      <c r="T167" s="9" t="n">
        <v>0.558</v>
      </c>
    </row>
    <row r="168" customFormat="false" ht="15" hidden="false" customHeight="true" outlineLevel="0" collapsed="false">
      <c r="A168" s="7" t="n">
        <v>1629673</v>
      </c>
      <c r="B168" s="7" t="s">
        <v>209</v>
      </c>
      <c r="C168" s="8" t="n">
        <v>343</v>
      </c>
      <c r="D168" s="8" t="n">
        <v>10021</v>
      </c>
      <c r="E168" s="8" t="n">
        <v>45709</v>
      </c>
      <c r="F168" s="9" t="n">
        <v>-1.535</v>
      </c>
      <c r="G168" s="9" t="n">
        <v>0.567985530386189</v>
      </c>
      <c r="H168" s="9" t="n">
        <v>0.536270731463926</v>
      </c>
      <c r="I168" s="9" t="n">
        <v>0.255856002394971</v>
      </c>
      <c r="J168" s="10" t="n">
        <v>5.23060572797126</v>
      </c>
      <c r="K168" s="10" t="n">
        <v>22.1287196886538</v>
      </c>
      <c r="L168" s="10" t="n">
        <v>1.49027043209261</v>
      </c>
      <c r="M168" s="10" t="n">
        <v>1.01402055683066</v>
      </c>
      <c r="N168" s="10" t="n">
        <v>13.8238898313542</v>
      </c>
      <c r="O168" s="10" t="n">
        <v>27.3938030136713</v>
      </c>
      <c r="P168" s="11" t="n">
        <v>29.2157434402332</v>
      </c>
      <c r="Q168" s="8" t="n">
        <v>1.49556930446063</v>
      </c>
      <c r="R168" s="8" t="n">
        <v>8.97620995908592</v>
      </c>
      <c r="S168" s="9" t="n">
        <v>-1.259</v>
      </c>
      <c r="T168" s="9" t="n">
        <v>-0.276</v>
      </c>
    </row>
    <row r="169" customFormat="false" ht="15" hidden="false" customHeight="true" outlineLevel="0" collapsed="false">
      <c r="A169" s="7" t="n">
        <v>1629674</v>
      </c>
      <c r="B169" s="7" t="s">
        <v>210</v>
      </c>
      <c r="C169" s="8" t="n">
        <v>186</v>
      </c>
      <c r="D169" s="8" t="n">
        <v>3271</v>
      </c>
      <c r="E169" s="8" t="n">
        <v>13503</v>
      </c>
      <c r="F169" s="9" t="n">
        <v>3.002</v>
      </c>
      <c r="G169" s="9" t="n">
        <v>0.665617548150413</v>
      </c>
      <c r="H169" s="9" t="n">
        <v>0.0133784775298073</v>
      </c>
      <c r="I169" s="9" t="n">
        <v>0.331574747783552</v>
      </c>
      <c r="J169" s="10" t="n">
        <v>17.3139712626108</v>
      </c>
      <c r="K169" s="10" t="n">
        <v>8.6021094466524</v>
      </c>
      <c r="L169" s="10" t="n">
        <v>1.41403240599205</v>
      </c>
      <c r="M169" s="10" t="n">
        <v>5.07496178538673</v>
      </c>
      <c r="N169" s="10" t="n">
        <v>12.2150718434729</v>
      </c>
      <c r="O169" s="10" t="n">
        <v>14.8082849281565</v>
      </c>
      <c r="P169" s="11" t="n">
        <v>17.5860215053763</v>
      </c>
      <c r="Q169" s="8" t="n">
        <v>13.305074900642</v>
      </c>
      <c r="R169" s="8" t="n">
        <v>21.2163558544788</v>
      </c>
      <c r="S169" s="9" t="n">
        <v>0.822</v>
      </c>
      <c r="T169" s="9" t="n">
        <v>2.18</v>
      </c>
    </row>
    <row r="170" customFormat="false" ht="15" hidden="false" customHeight="true" outlineLevel="0" collapsed="false">
      <c r="A170" s="7" t="n">
        <v>1629675</v>
      </c>
      <c r="B170" s="7" t="s">
        <v>211</v>
      </c>
      <c r="C170" s="8" t="n">
        <v>383</v>
      </c>
      <c r="D170" s="8" t="n">
        <v>8637</v>
      </c>
      <c r="E170" s="8" t="n">
        <v>39916</v>
      </c>
      <c r="F170" s="9" t="n">
        <v>-0.374</v>
      </c>
      <c r="G170" s="9" t="n">
        <v>0.585645710316082</v>
      </c>
      <c r="H170" s="9" t="n">
        <v>0.459530508278337</v>
      </c>
      <c r="I170" s="9" t="n">
        <v>0.187708463586894</v>
      </c>
      <c r="J170" s="10" t="n">
        <v>12.9294778279495</v>
      </c>
      <c r="K170" s="10" t="n">
        <v>10.5925784415885</v>
      </c>
      <c r="L170" s="10" t="n">
        <v>1.57005904828065</v>
      </c>
      <c r="M170" s="10" t="n">
        <v>3.62830844043071</v>
      </c>
      <c r="N170" s="10" t="n">
        <v>11.4624175060785</v>
      </c>
      <c r="O170" s="10" t="n">
        <v>22.4671645247192</v>
      </c>
      <c r="P170" s="11" t="n">
        <v>22.5509138381201</v>
      </c>
      <c r="Q170" s="8" t="n">
        <v>5.55345606113234</v>
      </c>
      <c r="R170" s="8" t="n">
        <v>19.9726293852032</v>
      </c>
      <c r="S170" s="9" t="n">
        <v>-1.719</v>
      </c>
      <c r="T170" s="9" t="n">
        <v>1.345</v>
      </c>
    </row>
    <row r="171" customFormat="false" ht="15" hidden="false" customHeight="true" outlineLevel="0" collapsed="false">
      <c r="A171" s="7" t="n">
        <v>1629680</v>
      </c>
      <c r="B171" s="7" t="s">
        <v>212</v>
      </c>
      <c r="C171" s="8" t="n">
        <v>247</v>
      </c>
      <c r="D171" s="8" t="n">
        <v>5164</v>
      </c>
      <c r="E171" s="8" t="n">
        <v>21572</v>
      </c>
      <c r="F171" s="9" t="n">
        <v>-0.427</v>
      </c>
      <c r="G171" s="9" t="n">
        <v>0.568263555383424</v>
      </c>
      <c r="H171" s="9" t="n">
        <v>0.599919248644462</v>
      </c>
      <c r="I171" s="9" t="n">
        <v>0.126311386522076</v>
      </c>
      <c r="J171" s="10" t="n">
        <v>5.84676607281177</v>
      </c>
      <c r="K171" s="10" t="n">
        <v>7.23450813323005</v>
      </c>
      <c r="L171" s="10" t="n">
        <v>3.85956622773044</v>
      </c>
      <c r="M171" s="10" t="n">
        <v>3.09744384198296</v>
      </c>
      <c r="N171" s="10" t="n">
        <v>10.8321649883811</v>
      </c>
      <c r="O171" s="10" t="n">
        <v>10.8517621998451</v>
      </c>
      <c r="P171" s="11" t="n">
        <v>20.9068825910931</v>
      </c>
      <c r="Q171" s="8" t="n">
        <v>3.06179318357862</v>
      </c>
      <c r="R171" s="8" t="n">
        <v>8.73241673121611</v>
      </c>
      <c r="S171" s="9" t="n">
        <v>-2.689</v>
      </c>
      <c r="T171" s="9" t="n">
        <v>2.262</v>
      </c>
    </row>
    <row r="172" customFormat="false" ht="15" hidden="false" customHeight="true" outlineLevel="0" collapsed="false">
      <c r="A172" s="7" t="n">
        <v>1629684</v>
      </c>
      <c r="B172" s="7" t="s">
        <v>213</v>
      </c>
      <c r="C172" s="8" t="n">
        <v>284</v>
      </c>
      <c r="D172" s="8" t="n">
        <v>7240</v>
      </c>
      <c r="E172" s="8" t="n">
        <v>32652</v>
      </c>
      <c r="F172" s="9" t="n">
        <v>-1.068</v>
      </c>
      <c r="G172" s="9" t="n">
        <v>0.607565331491713</v>
      </c>
      <c r="H172" s="9" t="n">
        <v>0.602186464088398</v>
      </c>
      <c r="I172" s="9" t="n">
        <v>0.246129005524862</v>
      </c>
      <c r="J172" s="10" t="n">
        <v>8.93939226519337</v>
      </c>
      <c r="K172" s="10" t="n">
        <v>8.96185082872928</v>
      </c>
      <c r="L172" s="10" t="n">
        <v>1.07256906077348</v>
      </c>
      <c r="M172" s="10" t="n">
        <v>1.96755524861878</v>
      </c>
      <c r="N172" s="10" t="n">
        <v>13.3188259668508</v>
      </c>
      <c r="O172" s="10" t="n">
        <v>14.0049447513812</v>
      </c>
      <c r="P172" s="11" t="n">
        <v>25.4929577464789</v>
      </c>
      <c r="Q172" s="8" t="n">
        <v>4.59088397790055</v>
      </c>
      <c r="R172" s="8" t="n">
        <v>13.1732044198895</v>
      </c>
      <c r="S172" s="9" t="n">
        <v>-0.407</v>
      </c>
      <c r="T172" s="9" t="n">
        <v>-0.661</v>
      </c>
    </row>
    <row r="173" customFormat="false" ht="15" hidden="false" customHeight="true" outlineLevel="0" collapsed="false">
      <c r="A173" s="7" t="n">
        <v>1629723</v>
      </c>
      <c r="B173" s="7" t="s">
        <v>214</v>
      </c>
      <c r="C173" s="8" t="n">
        <v>301</v>
      </c>
      <c r="D173" s="8" t="n">
        <v>5632</v>
      </c>
      <c r="E173" s="8" t="n">
        <v>24255</v>
      </c>
      <c r="F173" s="9" t="n">
        <v>-0.563</v>
      </c>
      <c r="G173" s="9" t="n">
        <v>0.567806285511364</v>
      </c>
      <c r="H173" s="9" t="n">
        <v>0.543076704545455</v>
      </c>
      <c r="I173" s="9" t="n">
        <v>0.150338245738636</v>
      </c>
      <c r="J173" s="10" t="n">
        <v>12.181640625</v>
      </c>
      <c r="K173" s="10" t="n">
        <v>10.8392045454546</v>
      </c>
      <c r="L173" s="10" t="n">
        <v>2.40461647727273</v>
      </c>
      <c r="M173" s="10" t="n">
        <v>2.45733309659091</v>
      </c>
      <c r="N173" s="10" t="n">
        <v>12.5522727272727</v>
      </c>
      <c r="O173" s="10" t="n">
        <v>9.70374644886364</v>
      </c>
      <c r="P173" s="11" t="n">
        <v>18.7109634551495</v>
      </c>
      <c r="Q173" s="8" t="n">
        <v>6.21965553977273</v>
      </c>
      <c r="R173" s="8" t="n">
        <v>18.3624822443182</v>
      </c>
      <c r="S173" s="9" t="n">
        <v>-2.048</v>
      </c>
      <c r="T173" s="9" t="n">
        <v>1.486</v>
      </c>
    </row>
    <row r="174" customFormat="false" ht="15" hidden="false" customHeight="true" outlineLevel="0" collapsed="false">
      <c r="A174" s="7" t="n">
        <v>1629726</v>
      </c>
      <c r="B174" s="7" t="s">
        <v>215</v>
      </c>
      <c r="C174" s="8" t="n">
        <v>247</v>
      </c>
      <c r="D174" s="8" t="n">
        <v>4416</v>
      </c>
      <c r="E174" s="8" t="n">
        <v>18495</v>
      </c>
      <c r="F174" s="9" t="n">
        <v>-2.026</v>
      </c>
      <c r="G174" s="9" t="n">
        <v>0.613552989130435</v>
      </c>
      <c r="H174" s="9" t="n">
        <v>0.854182065217391</v>
      </c>
      <c r="I174" s="9" t="n">
        <v>0.310744565217391</v>
      </c>
      <c r="J174" s="10" t="n">
        <v>5.6914402173913</v>
      </c>
      <c r="K174" s="10" t="n">
        <v>5.9794384057971</v>
      </c>
      <c r="L174" s="10" t="n">
        <v>1.45751811594203</v>
      </c>
      <c r="M174" s="10" t="n">
        <v>1.14719202898551</v>
      </c>
      <c r="N174" s="10" t="n">
        <v>7.5901268115942</v>
      </c>
      <c r="O174" s="10" t="n">
        <v>13.9739130434783</v>
      </c>
      <c r="P174" s="11" t="n">
        <v>17.8785425101215</v>
      </c>
      <c r="Q174" s="8" t="n">
        <v>1.81213768115942</v>
      </c>
      <c r="R174" s="8" t="n">
        <v>9.69646739130435</v>
      </c>
      <c r="S174" s="9" t="n">
        <v>-1.013</v>
      </c>
      <c r="T174" s="9" t="n">
        <v>-1.013</v>
      </c>
    </row>
    <row r="175" customFormat="false" ht="15" hidden="false" customHeight="true" outlineLevel="0" collapsed="false">
      <c r="A175" s="7" t="n">
        <v>1629731</v>
      </c>
      <c r="B175" s="7" t="s">
        <v>216</v>
      </c>
      <c r="C175" s="8" t="n">
        <v>267</v>
      </c>
      <c r="D175" s="8" t="n">
        <v>5549</v>
      </c>
      <c r="E175" s="8" t="n">
        <v>24830</v>
      </c>
      <c r="F175" s="9" t="n">
        <v>2.886</v>
      </c>
      <c r="G175" s="9" t="n">
        <v>0.575647864480087</v>
      </c>
      <c r="H175" s="9" t="n">
        <v>0.756947918543882</v>
      </c>
      <c r="I175" s="9" t="n">
        <v>0.125194449450351</v>
      </c>
      <c r="J175" s="10" t="n">
        <v>10.1904307082357</v>
      </c>
      <c r="K175" s="10" t="n">
        <v>6.7731843575419</v>
      </c>
      <c r="L175" s="10" t="n">
        <v>1.62227428365471</v>
      </c>
      <c r="M175" s="10" t="n">
        <v>1.57823031176789</v>
      </c>
      <c r="N175" s="10" t="n">
        <v>6.8340782122905</v>
      </c>
      <c r="O175" s="10" t="n">
        <v>10.3927194089025</v>
      </c>
      <c r="P175" s="11" t="n">
        <v>20.7827715355805</v>
      </c>
      <c r="Q175" s="8" t="n">
        <v>3.8724454856731</v>
      </c>
      <c r="R175" s="8" t="n">
        <v>16.2789331411065</v>
      </c>
      <c r="S175" s="9" t="n">
        <v>-0.152</v>
      </c>
      <c r="T175" s="9" t="n">
        <v>3.038</v>
      </c>
    </row>
    <row r="176" customFormat="false" ht="15" hidden="false" customHeight="true" outlineLevel="0" collapsed="false">
      <c r="A176" s="7" t="n">
        <v>1629750</v>
      </c>
      <c r="B176" s="7" t="s">
        <v>217</v>
      </c>
      <c r="C176" s="8" t="n">
        <v>256</v>
      </c>
      <c r="D176" s="8" t="n">
        <v>4933</v>
      </c>
      <c r="E176" s="8" t="n">
        <v>21290</v>
      </c>
      <c r="F176" s="9" t="n">
        <v>2.544</v>
      </c>
      <c r="G176" s="9" t="n">
        <v>0.606651733225218</v>
      </c>
      <c r="H176" s="9" t="n">
        <v>0.444287249138455</v>
      </c>
      <c r="I176" s="9" t="n">
        <v>0.295584228664099</v>
      </c>
      <c r="J176" s="10" t="n">
        <v>9.91879181025745</v>
      </c>
      <c r="K176" s="10" t="n">
        <v>5.37885667950537</v>
      </c>
      <c r="L176" s="10" t="n">
        <v>2.64771944050274</v>
      </c>
      <c r="M176" s="10" t="n">
        <v>2.24115142915062</v>
      </c>
      <c r="N176" s="10" t="n">
        <v>8.92702209608757</v>
      </c>
      <c r="O176" s="10" t="n">
        <v>12.9906142306913</v>
      </c>
      <c r="P176" s="11" t="n">
        <v>19.26953125</v>
      </c>
      <c r="Q176" s="8" t="n">
        <v>5.88072167038313</v>
      </c>
      <c r="R176" s="8" t="n">
        <v>13.9526454490168</v>
      </c>
      <c r="S176" s="9" t="n">
        <v>0.998</v>
      </c>
      <c r="T176" s="9" t="n">
        <v>1.546</v>
      </c>
    </row>
    <row r="177" customFormat="false" ht="15" hidden="false" customHeight="true" outlineLevel="0" collapsed="false">
      <c r="A177" s="7" t="n">
        <v>1630162</v>
      </c>
      <c r="B177" s="7" t="s">
        <v>218</v>
      </c>
      <c r="C177" s="8" t="n">
        <v>370</v>
      </c>
      <c r="D177" s="8" t="n">
        <v>13086</v>
      </c>
      <c r="E177" s="8" t="n">
        <v>60912</v>
      </c>
      <c r="F177" s="9" t="n">
        <v>2.638</v>
      </c>
      <c r="G177" s="9" t="n">
        <v>0.58103102552346</v>
      </c>
      <c r="H177" s="9" t="n">
        <v>0.423448188904172</v>
      </c>
      <c r="I177" s="9" t="n">
        <v>0.2962487391105</v>
      </c>
      <c r="J177" s="10" t="n">
        <v>8.41321259361149</v>
      </c>
      <c r="K177" s="10" t="n">
        <v>20.1372535534159</v>
      </c>
      <c r="L177" s="10" t="n">
        <v>1.87529420755005</v>
      </c>
      <c r="M177" s="10" t="n">
        <v>1.70488308115543</v>
      </c>
      <c r="N177" s="10" t="n">
        <v>12.0540654134189</v>
      </c>
      <c r="O177" s="10" t="n">
        <v>30.3388430383616</v>
      </c>
      <c r="P177" s="11" t="n">
        <v>35.3675675675676</v>
      </c>
      <c r="Q177" s="8" t="n">
        <v>2.20511233379184</v>
      </c>
      <c r="R177" s="8" t="n">
        <v>14.3768454837231</v>
      </c>
      <c r="S177" s="9" t="n">
        <v>2.971</v>
      </c>
      <c r="T177" s="9" t="n">
        <v>-0.333</v>
      </c>
    </row>
    <row r="178" customFormat="false" ht="15" hidden="false" customHeight="true" outlineLevel="0" collapsed="false">
      <c r="A178" s="7" t="n">
        <v>1630163</v>
      </c>
      <c r="B178" s="7" t="s">
        <v>219</v>
      </c>
      <c r="C178" s="8" t="n">
        <v>252</v>
      </c>
      <c r="D178" s="8" t="n">
        <v>7923</v>
      </c>
      <c r="E178" s="8" t="n">
        <v>32766</v>
      </c>
      <c r="F178" s="9" t="n">
        <v>2.671</v>
      </c>
      <c r="G178" s="9" t="n">
        <v>0.547091884387227</v>
      </c>
      <c r="H178" s="9" t="n">
        <v>0.516054651016029</v>
      </c>
      <c r="I178" s="9" t="n">
        <v>0.188395052379149</v>
      </c>
      <c r="J178" s="10" t="n">
        <v>9.74067903571879</v>
      </c>
      <c r="K178" s="10" t="n">
        <v>40.1393790230973</v>
      </c>
      <c r="L178" s="10" t="n">
        <v>2.13352265555976</v>
      </c>
      <c r="M178" s="10" t="n">
        <v>0.895355294711599</v>
      </c>
      <c r="N178" s="10" t="n">
        <v>14.1605326265304</v>
      </c>
      <c r="O178" s="10" t="n">
        <v>31.4655054903446</v>
      </c>
      <c r="P178" s="11" t="n">
        <v>31.4404761904762</v>
      </c>
      <c r="Q178" s="8" t="n">
        <v>3.96052000504859</v>
      </c>
      <c r="R178" s="8" t="n">
        <v>15.6324119651647</v>
      </c>
      <c r="S178" s="9" t="n">
        <v>4.588</v>
      </c>
      <c r="T178" s="9" t="n">
        <v>-1.917</v>
      </c>
    </row>
    <row r="179" customFormat="false" ht="15" hidden="false" customHeight="true" outlineLevel="0" collapsed="false">
      <c r="A179" s="7" t="n">
        <v>1630165</v>
      </c>
      <c r="B179" s="7" t="s">
        <v>220</v>
      </c>
      <c r="C179" s="8" t="n">
        <v>213</v>
      </c>
      <c r="D179" s="8" t="n">
        <v>5377</v>
      </c>
      <c r="E179" s="8" t="n">
        <v>22048</v>
      </c>
      <c r="F179" s="9" t="n">
        <v>-5.323</v>
      </c>
      <c r="G179" s="9" t="n">
        <v>0.46104128696299</v>
      </c>
      <c r="H179" s="9" t="n">
        <v>0.350241398549377</v>
      </c>
      <c r="I179" s="9" t="n">
        <v>0.161111586386461</v>
      </c>
      <c r="J179" s="10" t="n">
        <v>6.38272270782965</v>
      </c>
      <c r="K179" s="10" t="n">
        <v>28.5333457318207</v>
      </c>
      <c r="L179" s="10" t="n">
        <v>2.16948112330296</v>
      </c>
      <c r="M179" s="10" t="n">
        <v>1.4846010786684</v>
      </c>
      <c r="N179" s="10" t="n">
        <v>16.6651664496931</v>
      </c>
      <c r="O179" s="10" t="n">
        <v>17.7308722335875</v>
      </c>
      <c r="P179" s="11" t="n">
        <v>25.2441314553991</v>
      </c>
      <c r="Q179" s="8" t="n">
        <v>1.64214245862005</v>
      </c>
      <c r="R179" s="8" t="n">
        <v>11.4102287520922</v>
      </c>
      <c r="S179" s="9" t="n">
        <v>-4.557</v>
      </c>
      <c r="T179" s="9" t="n">
        <v>-0.766</v>
      </c>
    </row>
    <row r="180" customFormat="false" ht="15" hidden="false" customHeight="true" outlineLevel="0" collapsed="false">
      <c r="A180" s="7" t="n">
        <v>1630166</v>
      </c>
      <c r="B180" s="7" t="s">
        <v>221</v>
      </c>
      <c r="C180" s="8" t="n">
        <v>371</v>
      </c>
      <c r="D180" s="8" t="n">
        <v>10621</v>
      </c>
      <c r="E180" s="8" t="n">
        <v>44694</v>
      </c>
      <c r="F180" s="9" t="n">
        <v>2.095</v>
      </c>
      <c r="G180" s="9" t="n">
        <v>0.576062329347519</v>
      </c>
      <c r="H180" s="9" t="n">
        <v>0.380830901045099</v>
      </c>
      <c r="I180" s="9" t="n">
        <v>0.37871650503719</v>
      </c>
      <c r="J180" s="10" t="n">
        <v>12.4757649938801</v>
      </c>
      <c r="K180" s="10" t="n">
        <v>19.3461538461539</v>
      </c>
      <c r="L180" s="10" t="n">
        <v>1.39279728839092</v>
      </c>
      <c r="M180" s="10" t="n">
        <v>1.51657094435552</v>
      </c>
      <c r="N180" s="10" t="n">
        <v>15.0398173429997</v>
      </c>
      <c r="O180" s="10" t="n">
        <v>21.3003012898974</v>
      </c>
      <c r="P180" s="11" t="n">
        <v>28.6280323450135</v>
      </c>
      <c r="Q180" s="8" t="n">
        <v>4.03202146690519</v>
      </c>
      <c r="R180" s="8" t="n">
        <v>20.9381320026363</v>
      </c>
      <c r="S180" s="9" t="n">
        <v>2.146</v>
      </c>
      <c r="T180" s="9" t="n">
        <v>-0.051</v>
      </c>
    </row>
    <row r="181" customFormat="false" ht="15" hidden="false" customHeight="true" outlineLevel="0" collapsed="false">
      <c r="A181" s="7" t="n">
        <v>1630167</v>
      </c>
      <c r="B181" s="7" t="s">
        <v>222</v>
      </c>
      <c r="C181" s="8" t="n">
        <v>324</v>
      </c>
      <c r="D181" s="8" t="n">
        <v>5979</v>
      </c>
      <c r="E181" s="8" t="n">
        <v>28740</v>
      </c>
      <c r="F181" s="9" t="n">
        <v>1.742</v>
      </c>
      <c r="G181" s="9" t="n">
        <v>0.632419133634387</v>
      </c>
      <c r="H181" s="9" t="n">
        <v>0.470743769861181</v>
      </c>
      <c r="I181" s="9" t="n">
        <v>0.189102525505937</v>
      </c>
      <c r="J181" s="10" t="n">
        <v>11.1021742766349</v>
      </c>
      <c r="K181" s="10" t="n">
        <v>11.156263589229</v>
      </c>
      <c r="L181" s="10" t="n">
        <v>1.22900150526844</v>
      </c>
      <c r="M181" s="10" t="n">
        <v>1.73437029603613</v>
      </c>
      <c r="N181" s="10" t="n">
        <v>9.52946981100518</v>
      </c>
      <c r="O181" s="10" t="n">
        <v>19.5170931593912</v>
      </c>
      <c r="P181" s="11" t="n">
        <v>18.4537037037037</v>
      </c>
      <c r="Q181" s="8" t="n">
        <v>4.65440709148687</v>
      </c>
      <c r="R181" s="8" t="n">
        <v>17.5748620170597</v>
      </c>
      <c r="S181" s="9" t="n">
        <v>2.632</v>
      </c>
      <c r="T181" s="9" t="n">
        <v>-0.89</v>
      </c>
    </row>
    <row r="182" customFormat="false" ht="15" hidden="false" customHeight="true" outlineLevel="0" collapsed="false">
      <c r="A182" s="7" t="n">
        <v>1630168</v>
      </c>
      <c r="B182" s="7" t="s">
        <v>223</v>
      </c>
      <c r="C182" s="8" t="n">
        <v>331</v>
      </c>
      <c r="D182" s="8" t="n">
        <v>8607</v>
      </c>
      <c r="E182" s="8" t="n">
        <v>38061</v>
      </c>
      <c r="F182" s="9" t="n">
        <v>1.193</v>
      </c>
      <c r="G182" s="9" t="n">
        <v>0.647993493667945</v>
      </c>
      <c r="H182" s="9" t="n">
        <v>0.20699523643546</v>
      </c>
      <c r="I182" s="9" t="n">
        <v>0.331174509120483</v>
      </c>
      <c r="J182" s="10" t="n">
        <v>15.5793307772743</v>
      </c>
      <c r="K182" s="10" t="n">
        <v>9.74059486464506</v>
      </c>
      <c r="L182" s="10" t="n">
        <v>1.4579295921924</v>
      </c>
      <c r="M182" s="10" t="n">
        <v>3.8420587893575</v>
      </c>
      <c r="N182" s="10" t="n">
        <v>11.454234925061</v>
      </c>
      <c r="O182" s="10" t="n">
        <v>16.4465086557453</v>
      </c>
      <c r="P182" s="11" t="n">
        <v>26.0030211480363</v>
      </c>
      <c r="Q182" s="8" t="n">
        <v>10.4349947716975</v>
      </c>
      <c r="R182" s="8" t="n">
        <v>20.9485767398629</v>
      </c>
      <c r="S182" s="9" t="n">
        <v>0.494</v>
      </c>
      <c r="T182" s="9" t="n">
        <v>0.699</v>
      </c>
    </row>
    <row r="183" customFormat="false" ht="15" hidden="false" customHeight="true" outlineLevel="0" collapsed="false">
      <c r="A183" s="7" t="n">
        <v>1630170</v>
      </c>
      <c r="B183" s="7" t="s">
        <v>224</v>
      </c>
      <c r="C183" s="8" t="n">
        <v>308</v>
      </c>
      <c r="D183" s="8" t="n">
        <v>9390</v>
      </c>
      <c r="E183" s="8" t="n">
        <v>42375</v>
      </c>
      <c r="F183" s="9" t="n">
        <v>0.317</v>
      </c>
      <c r="G183" s="9" t="n">
        <v>0.560498296059638</v>
      </c>
      <c r="H183" s="9" t="n">
        <v>0.486141427050053</v>
      </c>
      <c r="I183" s="9" t="n">
        <v>0.159329818956337</v>
      </c>
      <c r="J183" s="10" t="n">
        <v>7.08869009584665</v>
      </c>
      <c r="K183" s="10" t="n">
        <v>14.0526624068158</v>
      </c>
      <c r="L183" s="10" t="n">
        <v>1.66965921192758</v>
      </c>
      <c r="M183" s="10" t="n">
        <v>1.269595314164</v>
      </c>
      <c r="N183" s="10" t="n">
        <v>7.76670926517572</v>
      </c>
      <c r="O183" s="10" t="n">
        <v>21.1711182108626</v>
      </c>
      <c r="P183" s="11" t="n">
        <v>30.487012987013</v>
      </c>
      <c r="Q183" s="8" t="n">
        <v>1.73137380191693</v>
      </c>
      <c r="R183" s="8" t="n">
        <v>12.4515122470714</v>
      </c>
      <c r="S183" s="9" t="n">
        <v>0.034</v>
      </c>
      <c r="T183" s="9" t="n">
        <v>0.283</v>
      </c>
    </row>
    <row r="184" customFormat="false" ht="15" hidden="false" customHeight="true" outlineLevel="0" collapsed="false">
      <c r="A184" s="7" t="n">
        <v>1630171</v>
      </c>
      <c r="B184" s="7" t="s">
        <v>225</v>
      </c>
      <c r="C184" s="8" t="n">
        <v>330</v>
      </c>
      <c r="D184" s="8" t="n">
        <v>8268</v>
      </c>
      <c r="E184" s="8" t="n">
        <v>35099</v>
      </c>
      <c r="F184" s="9" t="n">
        <v>-0.191</v>
      </c>
      <c r="G184" s="9" t="n">
        <v>0.592947629414611</v>
      </c>
      <c r="H184" s="9" t="n">
        <v>0.456660498306725</v>
      </c>
      <c r="I184" s="9" t="n">
        <v>0.281371915820029</v>
      </c>
      <c r="J184" s="10" t="n">
        <v>6.0329946782777</v>
      </c>
      <c r="K184" s="10" t="n">
        <v>8.22133526850508</v>
      </c>
      <c r="L184" s="10" t="n">
        <v>1.475</v>
      </c>
      <c r="M184" s="10" t="n">
        <v>1.43024915336236</v>
      </c>
      <c r="N184" s="10" t="n">
        <v>9.11088534107402</v>
      </c>
      <c r="O184" s="10" t="n">
        <v>12.9011852926947</v>
      </c>
      <c r="P184" s="11" t="n">
        <v>25.0545454545455</v>
      </c>
      <c r="Q184" s="8" t="n">
        <v>4.19885099177552</v>
      </c>
      <c r="R184" s="8" t="n">
        <v>7.83442186744074</v>
      </c>
      <c r="S184" s="9" t="n">
        <v>0.002</v>
      </c>
      <c r="T184" s="9" t="n">
        <v>-0.193</v>
      </c>
    </row>
    <row r="185" customFormat="false" ht="15" hidden="false" customHeight="true" outlineLevel="0" collapsed="false">
      <c r="A185" s="7" t="n">
        <v>1630172</v>
      </c>
      <c r="B185" s="7" t="s">
        <v>226</v>
      </c>
      <c r="C185" s="8" t="n">
        <v>277</v>
      </c>
      <c r="D185" s="8" t="n">
        <v>6969</v>
      </c>
      <c r="E185" s="8" t="n">
        <v>29577</v>
      </c>
      <c r="F185" s="9" t="n">
        <v>-3.28</v>
      </c>
      <c r="G185" s="9" t="n">
        <v>0.544002295881762</v>
      </c>
      <c r="H185" s="9" t="n">
        <v>0.463308509111781</v>
      </c>
      <c r="I185" s="9" t="n">
        <v>0.176622040464916</v>
      </c>
      <c r="J185" s="10" t="n">
        <v>7.96975175778448</v>
      </c>
      <c r="K185" s="10" t="n">
        <v>7.83859951212513</v>
      </c>
      <c r="L185" s="10" t="n">
        <v>1.50195149949778</v>
      </c>
      <c r="M185" s="10" t="n">
        <v>2.28852059118955</v>
      </c>
      <c r="N185" s="10" t="n">
        <v>12.7310804993543</v>
      </c>
      <c r="O185" s="10" t="n">
        <v>16.2225139905295</v>
      </c>
      <c r="P185" s="11" t="n">
        <v>25.158844765343</v>
      </c>
      <c r="Q185" s="8" t="n">
        <v>3.72017506098436</v>
      </c>
      <c r="R185" s="8" t="n">
        <v>12.1744583153968</v>
      </c>
      <c r="S185" s="9" t="n">
        <v>-3.44</v>
      </c>
      <c r="T185" s="9" t="n">
        <v>0.159</v>
      </c>
    </row>
    <row r="186" customFormat="false" ht="15" hidden="false" customHeight="true" outlineLevel="0" collapsed="false">
      <c r="A186" s="7" t="n">
        <v>1630173</v>
      </c>
      <c r="B186" s="7" t="s">
        <v>227</v>
      </c>
      <c r="C186" s="8" t="n">
        <v>332</v>
      </c>
      <c r="D186" s="8" t="n">
        <v>7404</v>
      </c>
      <c r="E186" s="8" t="n">
        <v>30750</v>
      </c>
      <c r="F186" s="9" t="n">
        <v>-3.249</v>
      </c>
      <c r="G186" s="9" t="n">
        <v>0.537294030253917</v>
      </c>
      <c r="H186" s="9" t="n">
        <v>0.202419367909238</v>
      </c>
      <c r="I186" s="9" t="n">
        <v>0.23826998919503</v>
      </c>
      <c r="J186" s="10" t="n">
        <v>15.817301458671</v>
      </c>
      <c r="K186" s="10" t="n">
        <v>7.40310642895732</v>
      </c>
      <c r="L186" s="10" t="n">
        <v>1.50379524581307</v>
      </c>
      <c r="M186" s="10" t="n">
        <v>2.92586439762291</v>
      </c>
      <c r="N186" s="10" t="n">
        <v>11.3058752025932</v>
      </c>
      <c r="O186" s="10" t="n">
        <v>17.2872906537007</v>
      </c>
      <c r="P186" s="11" t="n">
        <v>22.3012048192771</v>
      </c>
      <c r="Q186" s="8" t="n">
        <v>10.4830497028633</v>
      </c>
      <c r="R186" s="8" t="n">
        <v>21.5297811993517</v>
      </c>
      <c r="S186" s="9" t="n">
        <v>-2.236</v>
      </c>
      <c r="T186" s="9" t="n">
        <v>-1.014</v>
      </c>
    </row>
    <row r="187" customFormat="false" ht="15" hidden="false" customHeight="true" outlineLevel="0" collapsed="false">
      <c r="A187" s="7" t="n">
        <v>1630174</v>
      </c>
      <c r="B187" s="7" t="s">
        <v>228</v>
      </c>
      <c r="C187" s="8" t="n">
        <v>287</v>
      </c>
      <c r="D187" s="8" t="n">
        <v>6842</v>
      </c>
      <c r="E187" s="8" t="n">
        <v>33721</v>
      </c>
      <c r="F187" s="9" t="n">
        <v>0.8</v>
      </c>
      <c r="G187" s="9" t="n">
        <v>0.591928529669687</v>
      </c>
      <c r="H187" s="9" t="n">
        <v>0.537608155510085</v>
      </c>
      <c r="I187" s="9" t="n">
        <v>0.215886436714411</v>
      </c>
      <c r="J187" s="10" t="n">
        <v>8.16109324758842</v>
      </c>
      <c r="K187" s="10" t="n">
        <v>7.25799473838059</v>
      </c>
      <c r="L187" s="10" t="n">
        <v>1.3731657410114</v>
      </c>
      <c r="M187" s="10" t="n">
        <v>1.59720841859106</v>
      </c>
      <c r="N187" s="10" t="n">
        <v>9.65622624963461</v>
      </c>
      <c r="O187" s="10" t="n">
        <v>17.2840397544578</v>
      </c>
      <c r="P187" s="11" t="n">
        <v>23.8397212543554</v>
      </c>
      <c r="Q187" s="8" t="n">
        <v>3.64978076585794</v>
      </c>
      <c r="R187" s="8" t="n">
        <v>12.6597193802982</v>
      </c>
      <c r="S187" s="9" t="n">
        <v>1.368</v>
      </c>
      <c r="T187" s="9" t="n">
        <v>-0.568</v>
      </c>
    </row>
    <row r="188" customFormat="false" ht="15" hidden="false" customHeight="true" outlineLevel="0" collapsed="false">
      <c r="A188" s="7" t="n">
        <v>1630175</v>
      </c>
      <c r="B188" s="7" t="s">
        <v>229</v>
      </c>
      <c r="C188" s="8" t="n">
        <v>308</v>
      </c>
      <c r="D188" s="8" t="n">
        <v>7189</v>
      </c>
      <c r="E188" s="8" t="n">
        <v>29686</v>
      </c>
      <c r="F188" s="9" t="n">
        <v>-1.449</v>
      </c>
      <c r="G188" s="9" t="n">
        <v>0.536002364723884</v>
      </c>
      <c r="H188" s="9" t="n">
        <v>0.378531784671025</v>
      </c>
      <c r="I188" s="9" t="n">
        <v>0.255840311587147</v>
      </c>
      <c r="J188" s="10" t="n">
        <v>9.68102656836834</v>
      </c>
      <c r="K188" s="10" t="n">
        <v>25.1535818611768</v>
      </c>
      <c r="L188" s="10" t="n">
        <v>1.45203783558214</v>
      </c>
      <c r="M188" s="10" t="n">
        <v>1.70260119627208</v>
      </c>
      <c r="N188" s="10" t="n">
        <v>13.9152455139797</v>
      </c>
      <c r="O188" s="10" t="n">
        <v>23.9344554179997</v>
      </c>
      <c r="P188" s="11" t="n">
        <v>23.3409090909091</v>
      </c>
      <c r="Q188" s="8" t="n">
        <v>3.18887188760607</v>
      </c>
      <c r="R188" s="8" t="n">
        <v>16.2761719293365</v>
      </c>
      <c r="S188" s="9" t="n">
        <v>-0.656</v>
      </c>
      <c r="T188" s="9" t="n">
        <v>-0.793</v>
      </c>
    </row>
    <row r="189" customFormat="false" ht="15" hidden="false" customHeight="true" outlineLevel="0" collapsed="false">
      <c r="A189" s="7" t="n">
        <v>1630178</v>
      </c>
      <c r="B189" s="7" t="s">
        <v>230</v>
      </c>
      <c r="C189" s="8" t="n">
        <v>327</v>
      </c>
      <c r="D189" s="8" t="n">
        <v>11913</v>
      </c>
      <c r="E189" s="8" t="n">
        <v>53943</v>
      </c>
      <c r="F189" s="9" t="n">
        <v>1.019</v>
      </c>
      <c r="G189" s="9" t="n">
        <v>0.584627381851759</v>
      </c>
      <c r="H189" s="9" t="n">
        <v>0.387128263241837</v>
      </c>
      <c r="I189" s="9" t="n">
        <v>0.258704944178628</v>
      </c>
      <c r="J189" s="10" t="n">
        <v>5.34529505582137</v>
      </c>
      <c r="K189" s="10" t="n">
        <v>24.0562830521279</v>
      </c>
      <c r="L189" s="10" t="n">
        <v>1.62657600940149</v>
      </c>
      <c r="M189" s="10" t="n">
        <v>1.1602367161924</v>
      </c>
      <c r="N189" s="10" t="n">
        <v>7.96595316041299</v>
      </c>
      <c r="O189" s="10" t="n">
        <v>26.2138000503652</v>
      </c>
      <c r="P189" s="11" t="n">
        <v>36.4311926605505</v>
      </c>
      <c r="Q189" s="8" t="n">
        <v>1.16724586586082</v>
      </c>
      <c r="R189" s="8" t="n">
        <v>9.59958029043902</v>
      </c>
      <c r="S189" s="9" t="n">
        <v>2.374</v>
      </c>
      <c r="T189" s="9" t="n">
        <v>-1.355</v>
      </c>
    </row>
    <row r="190" customFormat="false" ht="15" hidden="false" customHeight="true" outlineLevel="0" collapsed="false">
      <c r="A190" s="7" t="n">
        <v>1630182</v>
      </c>
      <c r="B190" s="7" t="s">
        <v>231</v>
      </c>
      <c r="C190" s="8" t="n">
        <v>310</v>
      </c>
      <c r="D190" s="8" t="n">
        <v>6878</v>
      </c>
      <c r="E190" s="8" t="n">
        <v>29671</v>
      </c>
      <c r="F190" s="9" t="n">
        <v>-0.581</v>
      </c>
      <c r="G190" s="9" t="n">
        <v>0.598680139575458</v>
      </c>
      <c r="H190" s="9" t="n">
        <v>0.516570514684501</v>
      </c>
      <c r="I190" s="9" t="n">
        <v>0.182267374236697</v>
      </c>
      <c r="J190" s="10" t="n">
        <v>6.4851264902588</v>
      </c>
      <c r="K190" s="10" t="n">
        <v>9.40834544925851</v>
      </c>
      <c r="L190" s="10" t="n">
        <v>1.74591451003199</v>
      </c>
      <c r="M190" s="10" t="n">
        <v>0.656498982262286</v>
      </c>
      <c r="N190" s="10" t="n">
        <v>13.8917417854027</v>
      </c>
      <c r="O190" s="10" t="n">
        <v>12.869787728991</v>
      </c>
      <c r="P190" s="11" t="n">
        <v>22.1870967741936</v>
      </c>
      <c r="Q190" s="8" t="n">
        <v>4.00088688572259</v>
      </c>
      <c r="R190" s="8" t="n">
        <v>8.97579238150625</v>
      </c>
      <c r="S190" s="9" t="n">
        <v>-0.928</v>
      </c>
      <c r="T190" s="9" t="n">
        <v>0.347</v>
      </c>
    </row>
    <row r="191" customFormat="false" ht="15" hidden="false" customHeight="true" outlineLevel="0" collapsed="false">
      <c r="A191" s="7" t="n">
        <v>1630183</v>
      </c>
      <c r="B191" s="7" t="s">
        <v>232</v>
      </c>
      <c r="C191" s="8" t="n">
        <v>376</v>
      </c>
      <c r="D191" s="8" t="n">
        <v>11254</v>
      </c>
      <c r="E191" s="8" t="n">
        <v>51994</v>
      </c>
      <c r="F191" s="9" t="n">
        <v>-0.288</v>
      </c>
      <c r="G191" s="9" t="n">
        <v>0.582844677448019</v>
      </c>
      <c r="H191" s="9" t="n">
        <v>0.377460191931758</v>
      </c>
      <c r="I191" s="9" t="n">
        <v>0.167625733072685</v>
      </c>
      <c r="J191" s="10" t="n">
        <v>7.88591611871335</v>
      </c>
      <c r="K191" s="10" t="n">
        <v>8.6536253776435</v>
      </c>
      <c r="L191" s="10" t="n">
        <v>1.66450151057402</v>
      </c>
      <c r="M191" s="10" t="n">
        <v>2.54047449795628</v>
      </c>
      <c r="N191" s="10" t="n">
        <v>11.5856228896392</v>
      </c>
      <c r="O191" s="10" t="n">
        <v>16.3729696108051</v>
      </c>
      <c r="P191" s="11" t="n">
        <v>29.9308510638298</v>
      </c>
      <c r="Q191" s="8" t="n">
        <v>4.28875066642971</v>
      </c>
      <c r="R191" s="8" t="n">
        <v>11.3873378354363</v>
      </c>
      <c r="S191" s="9" t="n">
        <v>-0.841</v>
      </c>
      <c r="T191" s="9" t="n">
        <v>0.554</v>
      </c>
    </row>
    <row r="192" customFormat="false" ht="15" hidden="false" customHeight="true" outlineLevel="0" collapsed="false">
      <c r="A192" s="7" t="n">
        <v>1630188</v>
      </c>
      <c r="B192" s="7" t="s">
        <v>233</v>
      </c>
      <c r="C192" s="8" t="n">
        <v>297</v>
      </c>
      <c r="D192" s="8" t="n">
        <v>5308</v>
      </c>
      <c r="E192" s="8" t="n">
        <v>22485</v>
      </c>
      <c r="F192" s="9" t="n">
        <v>1.588</v>
      </c>
      <c r="G192" s="9" t="n">
        <v>0.605982667671439</v>
      </c>
      <c r="H192" s="9" t="n">
        <v>0.434436134137152</v>
      </c>
      <c r="I192" s="9" t="n">
        <v>0.25460286360211</v>
      </c>
      <c r="J192" s="10" t="n">
        <v>17.9642614920874</v>
      </c>
      <c r="K192" s="10" t="n">
        <v>7.60037678975132</v>
      </c>
      <c r="L192" s="10" t="n">
        <v>0.841258477769405</v>
      </c>
      <c r="M192" s="10" t="n">
        <v>3.62119442351168</v>
      </c>
      <c r="N192" s="10" t="n">
        <v>9.73072720422004</v>
      </c>
      <c r="O192" s="10" t="n">
        <v>20.1498304446119</v>
      </c>
      <c r="P192" s="11" t="n">
        <v>17.8720538720539</v>
      </c>
      <c r="Q192" s="8" t="n">
        <v>10.9512622456669</v>
      </c>
      <c r="R192" s="8" t="n">
        <v>24.8568387339864</v>
      </c>
      <c r="S192" s="9" t="n">
        <v>1.581</v>
      </c>
      <c r="T192" s="9" t="n">
        <v>0.007</v>
      </c>
    </row>
    <row r="193" customFormat="false" ht="15" hidden="false" customHeight="true" outlineLevel="0" collapsed="false">
      <c r="A193" s="7" t="n">
        <v>1630191</v>
      </c>
      <c r="B193" s="7" t="s">
        <v>234</v>
      </c>
      <c r="C193" s="8" t="n">
        <v>297</v>
      </c>
      <c r="D193" s="8" t="n">
        <v>7404</v>
      </c>
      <c r="E193" s="8" t="n">
        <v>30918</v>
      </c>
      <c r="F193" s="9" t="n">
        <v>-1.622</v>
      </c>
      <c r="G193" s="9" t="n">
        <v>0.588888168557537</v>
      </c>
      <c r="H193" s="9" t="n">
        <v>0.285608184764992</v>
      </c>
      <c r="I193" s="9" t="n">
        <v>0.270360210696921</v>
      </c>
      <c r="J193" s="10" t="n">
        <v>15.0059022150189</v>
      </c>
      <c r="K193" s="10" t="n">
        <v>7.86701782820097</v>
      </c>
      <c r="L193" s="10" t="n">
        <v>0.67720151269584</v>
      </c>
      <c r="M193" s="10" t="n">
        <v>4.34245002701243</v>
      </c>
      <c r="N193" s="10" t="n">
        <v>13.6048757428417</v>
      </c>
      <c r="O193" s="10" t="n">
        <v>15.0260804970286</v>
      </c>
      <c r="P193" s="11" t="n">
        <v>24.9292929292929</v>
      </c>
      <c r="Q193" s="8" t="n">
        <v>9.32903835764452</v>
      </c>
      <c r="R193" s="8" t="n">
        <v>20.884508373852</v>
      </c>
      <c r="S193" s="9" t="n">
        <v>-2.278</v>
      </c>
      <c r="T193" s="9" t="n">
        <v>0.656</v>
      </c>
    </row>
    <row r="194" customFormat="false" ht="15" hidden="false" customHeight="true" outlineLevel="0" collapsed="false">
      <c r="A194" s="7" t="n">
        <v>1630192</v>
      </c>
      <c r="B194" s="7" t="s">
        <v>235</v>
      </c>
      <c r="C194" s="8" t="n">
        <v>261</v>
      </c>
      <c r="D194" s="8" t="n">
        <v>3236</v>
      </c>
      <c r="E194" s="8" t="n">
        <v>13416</v>
      </c>
      <c r="F194" s="9" t="n">
        <v>-2.535</v>
      </c>
      <c r="G194" s="9" t="n">
        <v>0.58492892459827</v>
      </c>
      <c r="H194" s="9" t="n">
        <v>0.333436341161928</v>
      </c>
      <c r="I194" s="9" t="n">
        <v>0.335330037082818</v>
      </c>
      <c r="J194" s="10" t="n">
        <v>11.0331273176761</v>
      </c>
      <c r="K194" s="10" t="n">
        <v>4.72737948084054</v>
      </c>
      <c r="L194" s="10" t="n">
        <v>1.3433868974042</v>
      </c>
      <c r="M194" s="10" t="n">
        <v>3.74196538936959</v>
      </c>
      <c r="N194" s="10" t="n">
        <v>11.3576019777503</v>
      </c>
      <c r="O194" s="10" t="n">
        <v>14.3170580964153</v>
      </c>
      <c r="P194" s="11" t="n">
        <v>12.3984674329502</v>
      </c>
      <c r="Q194" s="8" t="n">
        <v>8.90500618046972</v>
      </c>
      <c r="R194" s="8" t="n">
        <v>12.9785537700865</v>
      </c>
      <c r="S194" s="9" t="n">
        <v>-3.365</v>
      </c>
      <c r="T194" s="9" t="n">
        <v>0.829</v>
      </c>
    </row>
    <row r="195" customFormat="false" ht="15" hidden="false" customHeight="true" outlineLevel="0" collapsed="false">
      <c r="A195" s="7" t="n">
        <v>1630193</v>
      </c>
      <c r="B195" s="7" t="s">
        <v>236</v>
      </c>
      <c r="C195" s="8" t="n">
        <v>330</v>
      </c>
      <c r="D195" s="8" t="n">
        <v>9280</v>
      </c>
      <c r="E195" s="8" t="n">
        <v>38032</v>
      </c>
      <c r="F195" s="9" t="n">
        <v>2.524</v>
      </c>
      <c r="G195" s="9" t="n">
        <v>0.569957974137931</v>
      </c>
      <c r="H195" s="9" t="n">
        <v>0.509550862068966</v>
      </c>
      <c r="I195" s="9" t="n">
        <v>0.263465625</v>
      </c>
      <c r="J195" s="10" t="n">
        <v>7.3760775862069</v>
      </c>
      <c r="K195" s="10" t="n">
        <v>23.8772629310345</v>
      </c>
      <c r="L195" s="10" t="n">
        <v>1.576875</v>
      </c>
      <c r="M195" s="10" t="n">
        <v>0.384989224137931</v>
      </c>
      <c r="N195" s="10" t="n">
        <v>9.55645474137931</v>
      </c>
      <c r="O195" s="10" t="n">
        <v>22.2363038793103</v>
      </c>
      <c r="P195" s="11" t="n">
        <v>28.1212121212121</v>
      </c>
      <c r="Q195" s="8" t="n">
        <v>1.85885775862069</v>
      </c>
      <c r="R195" s="8" t="n">
        <v>12.9851724137931</v>
      </c>
      <c r="S195" s="9" t="n">
        <v>0.128</v>
      </c>
      <c r="T195" s="9" t="n">
        <v>2.396</v>
      </c>
    </row>
    <row r="196" customFormat="false" ht="15" hidden="false" customHeight="true" outlineLevel="0" collapsed="false">
      <c r="A196" s="7" t="n">
        <v>1630194</v>
      </c>
      <c r="B196" s="7" t="s">
        <v>237</v>
      </c>
      <c r="C196" s="8" t="n">
        <v>299</v>
      </c>
      <c r="D196" s="8" t="n">
        <v>3986</v>
      </c>
      <c r="E196" s="8" t="n">
        <v>17953</v>
      </c>
      <c r="F196" s="9" t="n">
        <v>1.686</v>
      </c>
      <c r="G196" s="9" t="n">
        <v>0.601721023582539</v>
      </c>
      <c r="H196" s="9" t="n">
        <v>0.107570245860512</v>
      </c>
      <c r="I196" s="9" t="n">
        <v>0.233646261916709</v>
      </c>
      <c r="J196" s="10" t="n">
        <v>17.7630707476167</v>
      </c>
      <c r="K196" s="10" t="n">
        <v>10.0866532865028</v>
      </c>
      <c r="L196" s="10" t="n">
        <v>2.99586051179127</v>
      </c>
      <c r="M196" s="10" t="n">
        <v>5.51146512794782</v>
      </c>
      <c r="N196" s="10" t="n">
        <v>12.8149774209734</v>
      </c>
      <c r="O196" s="10" t="n">
        <v>17.3484696437531</v>
      </c>
      <c r="P196" s="11" t="n">
        <v>13.3311036789298</v>
      </c>
      <c r="Q196" s="8" t="n">
        <v>14.7451831409935</v>
      </c>
      <c r="R196" s="8" t="n">
        <v>20.859708981435</v>
      </c>
      <c r="S196" s="9" t="n">
        <v>0.169</v>
      </c>
      <c r="T196" s="9" t="n">
        <v>1.517</v>
      </c>
    </row>
    <row r="197" customFormat="false" ht="15" hidden="false" customHeight="true" outlineLevel="0" collapsed="false">
      <c r="A197" s="7" t="n">
        <v>1630198</v>
      </c>
      <c r="B197" s="7" t="s">
        <v>238</v>
      </c>
      <c r="C197" s="8" t="n">
        <v>351</v>
      </c>
      <c r="D197" s="8" t="n">
        <v>6560</v>
      </c>
      <c r="E197" s="8" t="n">
        <v>29250</v>
      </c>
      <c r="F197" s="9" t="n">
        <v>1.911</v>
      </c>
      <c r="G197" s="9" t="n">
        <v>0.6209875</v>
      </c>
      <c r="H197" s="9" t="n">
        <v>0.771133384146342</v>
      </c>
      <c r="I197" s="9" t="n">
        <v>0.157084451219512</v>
      </c>
      <c r="J197" s="10" t="n">
        <v>6.52512195121951</v>
      </c>
      <c r="K197" s="10" t="n">
        <v>8.90989329268293</v>
      </c>
      <c r="L197" s="10" t="n">
        <v>1.48265243902439</v>
      </c>
      <c r="M197" s="10" t="n">
        <v>0.759359756097561</v>
      </c>
      <c r="N197" s="10" t="n">
        <v>7.14689024390244</v>
      </c>
      <c r="O197" s="10" t="n">
        <v>17.292012195122</v>
      </c>
      <c r="P197" s="11" t="n">
        <v>18.6894586894587</v>
      </c>
      <c r="Q197" s="8" t="n">
        <v>2.35908536585366</v>
      </c>
      <c r="R197" s="8" t="n">
        <v>10.5380792682927</v>
      </c>
      <c r="S197" s="9" t="n">
        <v>2.294</v>
      </c>
      <c r="T197" s="9" t="n">
        <v>-0.382</v>
      </c>
    </row>
    <row r="198" customFormat="false" ht="15" hidden="false" customHeight="true" outlineLevel="0" collapsed="false">
      <c r="A198" s="7" t="n">
        <v>1630200</v>
      </c>
      <c r="B198" s="7" t="s">
        <v>239</v>
      </c>
      <c r="C198" s="8" t="n">
        <v>325</v>
      </c>
      <c r="D198" s="8" t="n">
        <v>7927</v>
      </c>
      <c r="E198" s="8" t="n">
        <v>33250</v>
      </c>
      <c r="F198" s="9" t="n">
        <v>-0.346</v>
      </c>
      <c r="G198" s="9" t="n">
        <v>0.583207140153904</v>
      </c>
      <c r="H198" s="9" t="n">
        <v>0.2304980446575</v>
      </c>
      <c r="I198" s="9" t="n">
        <v>0.263290021445692</v>
      </c>
      <c r="J198" s="10" t="n">
        <v>6.82066355493882</v>
      </c>
      <c r="K198" s="10" t="n">
        <v>29.8200832597452</v>
      </c>
      <c r="L198" s="10" t="n">
        <v>1.90373407341996</v>
      </c>
      <c r="M198" s="10" t="n">
        <v>0.478112779109373</v>
      </c>
      <c r="N198" s="10" t="n">
        <v>12.4339851141668</v>
      </c>
      <c r="O198" s="10" t="n">
        <v>17.0425760060553</v>
      </c>
      <c r="P198" s="11" t="n">
        <v>24.3907692307692</v>
      </c>
      <c r="Q198" s="8" t="n">
        <v>2.84030528573231</v>
      </c>
      <c r="R198" s="8" t="n">
        <v>10.8839031159329</v>
      </c>
      <c r="S198" s="9" t="n">
        <v>0.255</v>
      </c>
      <c r="T198" s="9" t="n">
        <v>-0.602</v>
      </c>
    </row>
    <row r="199" customFormat="false" ht="15" hidden="false" customHeight="true" outlineLevel="0" collapsed="false">
      <c r="A199" s="7" t="n">
        <v>1630202</v>
      </c>
      <c r="B199" s="7" t="s">
        <v>240</v>
      </c>
      <c r="C199" s="8" t="n">
        <v>360</v>
      </c>
      <c r="D199" s="8" t="n">
        <v>8296</v>
      </c>
      <c r="E199" s="8" t="n">
        <v>37498</v>
      </c>
      <c r="F199" s="9" t="n">
        <v>1.596</v>
      </c>
      <c r="G199" s="9" t="n">
        <v>0.595829074252652</v>
      </c>
      <c r="H199" s="9" t="n">
        <v>0.617047613307618</v>
      </c>
      <c r="I199" s="9" t="n">
        <v>0.0962196239151398</v>
      </c>
      <c r="J199" s="10" t="n">
        <v>7.22856798457088</v>
      </c>
      <c r="K199" s="10" t="n">
        <v>20.295443587271</v>
      </c>
      <c r="L199" s="10" t="n">
        <v>1.22156460945034</v>
      </c>
      <c r="M199" s="10" t="n">
        <v>0.421564609450337</v>
      </c>
      <c r="N199" s="10" t="n">
        <v>9.08207569913211</v>
      </c>
      <c r="O199" s="10" t="n">
        <v>19.3572082931533</v>
      </c>
      <c r="P199" s="11" t="n">
        <v>23.0444444444444</v>
      </c>
      <c r="Q199" s="8" t="n">
        <v>3.96718900675024</v>
      </c>
      <c r="R199" s="8" t="n">
        <v>10.3841369334619</v>
      </c>
      <c r="S199" s="9" t="n">
        <v>2.573</v>
      </c>
      <c r="T199" s="9" t="n">
        <v>-0.977</v>
      </c>
    </row>
    <row r="200" customFormat="false" ht="15" hidden="false" customHeight="true" outlineLevel="0" collapsed="false">
      <c r="A200" s="7" t="n">
        <v>1630208</v>
      </c>
      <c r="B200" s="7" t="s">
        <v>241</v>
      </c>
      <c r="C200" s="8" t="n">
        <v>287</v>
      </c>
      <c r="D200" s="8" t="n">
        <v>5300</v>
      </c>
      <c r="E200" s="8" t="n">
        <v>21619</v>
      </c>
      <c r="F200" s="9" t="n">
        <v>-6.068</v>
      </c>
      <c r="G200" s="9" t="n">
        <v>0.665476226415094</v>
      </c>
      <c r="H200" s="9" t="n">
        <v>0.0150101886792452</v>
      </c>
      <c r="I200" s="9" t="n">
        <v>0.501051509433962</v>
      </c>
      <c r="J200" s="10" t="n">
        <v>18.0539811320755</v>
      </c>
      <c r="K200" s="10" t="n">
        <v>4.68752830188679</v>
      </c>
      <c r="L200" s="10" t="n">
        <v>0.618339622641509</v>
      </c>
      <c r="M200" s="10" t="n">
        <v>4.37696226415094</v>
      </c>
      <c r="N200" s="10" t="n">
        <v>15.2471886792453</v>
      </c>
      <c r="O200" s="10" t="n">
        <v>15.5695660377359</v>
      </c>
      <c r="P200" s="11" t="n">
        <v>18.4668989547038</v>
      </c>
      <c r="Q200" s="8" t="n">
        <v>11.7812830188679</v>
      </c>
      <c r="R200" s="8" t="n">
        <v>24.4980754716981</v>
      </c>
      <c r="S200" s="9" t="n">
        <v>-3.146</v>
      </c>
      <c r="T200" s="9" t="n">
        <v>-2.923</v>
      </c>
    </row>
    <row r="201" customFormat="false" ht="15" hidden="false" customHeight="true" outlineLevel="0" collapsed="false">
      <c r="A201" s="7" t="n">
        <v>1630214</v>
      </c>
      <c r="B201" s="7" t="s">
        <v>242</v>
      </c>
      <c r="C201" s="8" t="n">
        <v>231</v>
      </c>
      <c r="D201" s="8" t="n">
        <v>3269</v>
      </c>
      <c r="E201" s="8" t="n">
        <v>15047</v>
      </c>
      <c r="F201" s="9" t="n">
        <v>-1.73</v>
      </c>
      <c r="G201" s="9" t="n">
        <v>0.521869379014989</v>
      </c>
      <c r="H201" s="9" t="n">
        <v>0.217339859284185</v>
      </c>
      <c r="I201" s="9" t="n">
        <v>0.23909483022331</v>
      </c>
      <c r="J201" s="10" t="n">
        <v>12.5174671153258</v>
      </c>
      <c r="K201" s="10" t="n">
        <v>10.578005506271</v>
      </c>
      <c r="L201" s="10" t="n">
        <v>2.62208626491282</v>
      </c>
      <c r="M201" s="10" t="n">
        <v>2.73982869379015</v>
      </c>
      <c r="N201" s="10" t="n">
        <v>11.9249923524014</v>
      </c>
      <c r="O201" s="10" t="n">
        <v>14.5307433465892</v>
      </c>
      <c r="P201" s="11" t="n">
        <v>14.1515151515152</v>
      </c>
      <c r="Q201" s="8" t="n">
        <v>9.28005506271031</v>
      </c>
      <c r="R201" s="8" t="n">
        <v>15.8303150810646</v>
      </c>
      <c r="S201" s="9" t="n">
        <v>-3.239</v>
      </c>
      <c r="T201" s="9" t="n">
        <v>1.508</v>
      </c>
    </row>
    <row r="202" customFormat="false" ht="15" hidden="false" customHeight="true" outlineLevel="0" collapsed="false">
      <c r="A202" s="7" t="n">
        <v>1630217</v>
      </c>
      <c r="B202" s="7" t="s">
        <v>243</v>
      </c>
      <c r="C202" s="8" t="n">
        <v>327</v>
      </c>
      <c r="D202" s="8" t="n">
        <v>10511</v>
      </c>
      <c r="E202" s="8" t="n">
        <v>48027</v>
      </c>
      <c r="F202" s="9" t="n">
        <v>2.825</v>
      </c>
      <c r="G202" s="9" t="n">
        <v>0.599651507944059</v>
      </c>
      <c r="H202" s="9" t="n">
        <v>0.420981257729997</v>
      </c>
      <c r="I202" s="9" t="n">
        <v>0.212947103034916</v>
      </c>
      <c r="J202" s="10" t="n">
        <v>7.97301874227</v>
      </c>
      <c r="K202" s="10" t="n">
        <v>20.5735134620873</v>
      </c>
      <c r="L202" s="10" t="n">
        <v>1.61067453144325</v>
      </c>
      <c r="M202" s="10" t="n">
        <v>1.18838359813529</v>
      </c>
      <c r="N202" s="10" t="n">
        <v>11.0127961183522</v>
      </c>
      <c r="O202" s="10" t="n">
        <v>24.4611835220245</v>
      </c>
      <c r="P202" s="11" t="n">
        <v>32.1437308868502</v>
      </c>
      <c r="Q202" s="8" t="n">
        <v>2.8994672248121</v>
      </c>
      <c r="R202" s="8" t="n">
        <v>13.171401389021</v>
      </c>
      <c r="S202" s="9" t="n">
        <v>2.816</v>
      </c>
      <c r="T202" s="9" t="n">
        <v>0.009</v>
      </c>
    </row>
    <row r="203" customFormat="false" ht="15" hidden="false" customHeight="true" outlineLevel="0" collapsed="false">
      <c r="A203" s="7" t="n">
        <v>1630224</v>
      </c>
      <c r="B203" s="7" t="s">
        <v>244</v>
      </c>
      <c r="C203" s="8" t="n">
        <v>339</v>
      </c>
      <c r="D203" s="8" t="n">
        <v>10866</v>
      </c>
      <c r="E203" s="8" t="n">
        <v>46156</v>
      </c>
      <c r="F203" s="9" t="n">
        <v>-3.523</v>
      </c>
      <c r="G203" s="9" t="n">
        <v>0.540301766979569</v>
      </c>
      <c r="H203" s="9" t="n">
        <v>0.448751518498067</v>
      </c>
      <c r="I203" s="9" t="n">
        <v>0.264484630958955</v>
      </c>
      <c r="J203" s="10" t="n">
        <v>7.09159764402724</v>
      </c>
      <c r="K203" s="10" t="n">
        <v>16.25</v>
      </c>
      <c r="L203" s="10" t="n">
        <v>1.22248297441561</v>
      </c>
      <c r="M203" s="10" t="n">
        <v>0.856368488864348</v>
      </c>
      <c r="N203" s="10" t="n">
        <v>11.3716178906681</v>
      </c>
      <c r="O203" s="10" t="n">
        <v>27.1576937235413</v>
      </c>
      <c r="P203" s="11" t="n">
        <v>32.0530973451327</v>
      </c>
      <c r="Q203" s="8" t="n">
        <v>1.75442665194184</v>
      </c>
      <c r="R203" s="8" t="n">
        <v>12.6252070679183</v>
      </c>
      <c r="S203" s="9" t="n">
        <v>-0.692</v>
      </c>
      <c r="T203" s="9" t="n">
        <v>-2.831</v>
      </c>
    </row>
    <row r="204" customFormat="false" ht="15" hidden="false" customHeight="true" outlineLevel="0" collapsed="false">
      <c r="A204" s="7" t="n">
        <v>1630228</v>
      </c>
      <c r="B204" s="7" t="s">
        <v>245</v>
      </c>
      <c r="C204" s="8" t="n">
        <v>294</v>
      </c>
      <c r="D204" s="8" t="n">
        <v>6502</v>
      </c>
      <c r="E204" s="8" t="n">
        <v>29204</v>
      </c>
      <c r="F204" s="9" t="n">
        <v>-1.292</v>
      </c>
      <c r="G204" s="9" t="n">
        <v>0.581831744078745</v>
      </c>
      <c r="H204" s="9" t="n">
        <v>0.265708858812673</v>
      </c>
      <c r="I204" s="9" t="n">
        <v>0.358066133497385</v>
      </c>
      <c r="J204" s="10" t="n">
        <v>10.3621039680098</v>
      </c>
      <c r="K204" s="10" t="n">
        <v>12.4459704706244</v>
      </c>
      <c r="L204" s="10" t="n">
        <v>1.40419870808982</v>
      </c>
      <c r="M204" s="10" t="n">
        <v>1.71871731774839</v>
      </c>
      <c r="N204" s="10" t="n">
        <v>12.137326976315</v>
      </c>
      <c r="O204" s="10" t="n">
        <v>23.3713318978776</v>
      </c>
      <c r="P204" s="11" t="n">
        <v>22.1156462585034</v>
      </c>
      <c r="Q204" s="8" t="n">
        <v>5.40312211627192</v>
      </c>
      <c r="R204" s="8" t="n">
        <v>15.3178252845278</v>
      </c>
      <c r="S204" s="9" t="n">
        <v>-1.71</v>
      </c>
      <c r="T204" s="9" t="n">
        <v>0.418</v>
      </c>
    </row>
    <row r="205" customFormat="false" ht="15" hidden="false" customHeight="true" outlineLevel="0" collapsed="false">
      <c r="A205" s="7" t="n">
        <v>1630230</v>
      </c>
      <c r="B205" s="7" t="s">
        <v>246</v>
      </c>
      <c r="C205" s="8" t="n">
        <v>341</v>
      </c>
      <c r="D205" s="8" t="n">
        <v>7887</v>
      </c>
      <c r="E205" s="8" t="n">
        <v>33198</v>
      </c>
      <c r="F205" s="9" t="n">
        <v>0.452</v>
      </c>
      <c r="G205" s="9" t="n">
        <v>0.567353746671738</v>
      </c>
      <c r="H205" s="9" t="n">
        <v>0.334496893622417</v>
      </c>
      <c r="I205" s="9" t="n">
        <v>0.294882084442754</v>
      </c>
      <c r="J205" s="10" t="n">
        <v>9.27483200202866</v>
      </c>
      <c r="K205" s="10" t="n">
        <v>14.9712564980347</v>
      </c>
      <c r="L205" s="10" t="n">
        <v>1.78505135032332</v>
      </c>
      <c r="M205" s="10" t="n">
        <v>0.572714593635096</v>
      </c>
      <c r="N205" s="10" t="n">
        <v>12.4703943197667</v>
      </c>
      <c r="O205" s="10" t="n">
        <v>19.1234563205275</v>
      </c>
      <c r="P205" s="11" t="n">
        <v>23.1290322580645</v>
      </c>
      <c r="Q205" s="8" t="n">
        <v>3.9251933561557</v>
      </c>
      <c r="R205" s="8" t="n">
        <v>14.5944465576265</v>
      </c>
      <c r="S205" s="9" t="n">
        <v>-0.047</v>
      </c>
      <c r="T205" s="9" t="n">
        <v>0.499</v>
      </c>
    </row>
    <row r="206" customFormat="false" ht="15" hidden="false" customHeight="true" outlineLevel="0" collapsed="false">
      <c r="A206" s="7" t="n">
        <v>1630241</v>
      </c>
      <c r="B206" s="7" t="s">
        <v>247</v>
      </c>
      <c r="C206" s="8" t="n">
        <v>195</v>
      </c>
      <c r="D206" s="8" t="n">
        <v>3964</v>
      </c>
      <c r="E206" s="8" t="n">
        <v>18582</v>
      </c>
      <c r="F206" s="9" t="n">
        <v>1.234</v>
      </c>
      <c r="G206" s="9" t="n">
        <v>0.606250504540868</v>
      </c>
      <c r="H206" s="9" t="n">
        <v>0.84516599394551</v>
      </c>
      <c r="I206" s="9" t="n">
        <v>0.0966531281533804</v>
      </c>
      <c r="J206" s="10" t="n">
        <v>5.92212411705348</v>
      </c>
      <c r="K206" s="10" t="n">
        <v>11.7784056508577</v>
      </c>
      <c r="L206" s="10" t="n">
        <v>1.34634207870838</v>
      </c>
      <c r="M206" s="10" t="n">
        <v>0.572679112008073</v>
      </c>
      <c r="N206" s="10" t="n">
        <v>6.53960645812311</v>
      </c>
      <c r="O206" s="10" t="n">
        <v>16.2230827447023</v>
      </c>
      <c r="P206" s="11" t="n">
        <v>20.3282051282051</v>
      </c>
      <c r="Q206" s="8" t="n">
        <v>2.47111503531786</v>
      </c>
      <c r="R206" s="8" t="n">
        <v>9.24452573158426</v>
      </c>
      <c r="S206" s="9" t="n">
        <v>1.469</v>
      </c>
      <c r="T206" s="9" t="n">
        <v>-0.236</v>
      </c>
    </row>
    <row r="207" customFormat="false" ht="15" hidden="false" customHeight="true" outlineLevel="0" collapsed="false">
      <c r="A207" s="7" t="n">
        <v>1630245</v>
      </c>
      <c r="B207" s="7" t="s">
        <v>248</v>
      </c>
      <c r="C207" s="8" t="n">
        <v>348</v>
      </c>
      <c r="D207" s="8" t="n">
        <v>9695</v>
      </c>
      <c r="E207" s="8" t="n">
        <v>41325</v>
      </c>
      <c r="F207" s="9" t="n">
        <v>-3.393</v>
      </c>
      <c r="G207" s="9" t="n">
        <v>0.596564620938628</v>
      </c>
      <c r="H207" s="9" t="n">
        <v>0.374418256833419</v>
      </c>
      <c r="I207" s="9" t="n">
        <v>0.159193604951006</v>
      </c>
      <c r="J207" s="10" t="n">
        <v>5.96858174316658</v>
      </c>
      <c r="K207" s="10" t="n">
        <v>16.7139969056215</v>
      </c>
      <c r="L207" s="10" t="n">
        <v>1.44221763795771</v>
      </c>
      <c r="M207" s="10" t="n">
        <v>1.22209386281589</v>
      </c>
      <c r="N207" s="10" t="n">
        <v>13.0590407426509</v>
      </c>
      <c r="O207" s="10" t="n">
        <v>16.5233831872099</v>
      </c>
      <c r="P207" s="11" t="n">
        <v>27.8591954022989</v>
      </c>
      <c r="Q207" s="8" t="n">
        <v>2.27314079422383</v>
      </c>
      <c r="R207" s="8" t="n">
        <v>9.5746982980918</v>
      </c>
      <c r="S207" s="9" t="n">
        <v>-2.672</v>
      </c>
      <c r="T207" s="9" t="n">
        <v>-0.721</v>
      </c>
    </row>
    <row r="208" customFormat="false" ht="15" hidden="false" customHeight="true" outlineLevel="0" collapsed="false">
      <c r="A208" s="7" t="n">
        <v>1630249</v>
      </c>
      <c r="B208" s="7" t="s">
        <v>249</v>
      </c>
      <c r="C208" s="8" t="n">
        <v>203</v>
      </c>
      <c r="D208" s="8" t="n">
        <v>3941</v>
      </c>
      <c r="E208" s="8" t="n">
        <v>16597</v>
      </c>
      <c r="F208" s="9" t="n">
        <v>-3.258</v>
      </c>
      <c r="G208" s="9" t="n">
        <v>0.607891144379599</v>
      </c>
      <c r="H208" s="9" t="n">
        <v>0.692795990865263</v>
      </c>
      <c r="I208" s="9" t="n">
        <v>0.12042070540472</v>
      </c>
      <c r="J208" s="10" t="n">
        <v>6.60060898249175</v>
      </c>
      <c r="K208" s="10" t="n">
        <v>12.4131692463842</v>
      </c>
      <c r="L208" s="10" t="n">
        <v>1.45493529561025</v>
      </c>
      <c r="M208" s="10" t="n">
        <v>1.38903831514844</v>
      </c>
      <c r="N208" s="10" t="n">
        <v>12.0964983506724</v>
      </c>
      <c r="O208" s="10" t="n">
        <v>12.9911697538696</v>
      </c>
      <c r="P208" s="11" t="n">
        <v>19.4137931034483</v>
      </c>
      <c r="Q208" s="8" t="n">
        <v>2.33960923623446</v>
      </c>
      <c r="R208" s="8" t="n">
        <v>11.0650850038061</v>
      </c>
      <c r="S208" s="9" t="n">
        <v>-2.064</v>
      </c>
      <c r="T208" s="9" t="n">
        <v>-1.194</v>
      </c>
    </row>
    <row r="209" customFormat="false" ht="15" hidden="false" customHeight="true" outlineLevel="0" collapsed="false">
      <c r="A209" s="7" t="n">
        <v>1630256</v>
      </c>
      <c r="B209" s="7" t="s">
        <v>250</v>
      </c>
      <c r="C209" s="8" t="n">
        <v>272</v>
      </c>
      <c r="D209" s="8" t="n">
        <v>4757</v>
      </c>
      <c r="E209" s="8" t="n">
        <v>19724</v>
      </c>
      <c r="F209" s="9" t="n">
        <v>-0.654</v>
      </c>
      <c r="G209" s="9" t="n">
        <v>0.556490014715157</v>
      </c>
      <c r="H209" s="9" t="n">
        <v>0.28462118982552</v>
      </c>
      <c r="I209" s="9" t="n">
        <v>0.236503678789153</v>
      </c>
      <c r="J209" s="10" t="n">
        <v>10.5792306075258</v>
      </c>
      <c r="K209" s="10" t="n">
        <v>13.6761614462897</v>
      </c>
      <c r="L209" s="10" t="n">
        <v>1.75579146520917</v>
      </c>
      <c r="M209" s="10" t="n">
        <v>1.39760353163759</v>
      </c>
      <c r="N209" s="10" t="n">
        <v>13.7955223880597</v>
      </c>
      <c r="O209" s="10" t="n">
        <v>16.4758881648098</v>
      </c>
      <c r="P209" s="11" t="n">
        <v>17.4889705882353</v>
      </c>
      <c r="Q209" s="8" t="n">
        <v>7.2999579566954</v>
      </c>
      <c r="R209" s="8" t="n">
        <v>13.9574311540887</v>
      </c>
      <c r="S209" s="9" t="n">
        <v>-2.382</v>
      </c>
      <c r="T209" s="9" t="n">
        <v>1.728</v>
      </c>
    </row>
    <row r="210" customFormat="false" ht="15" hidden="false" customHeight="true" outlineLevel="0" collapsed="false">
      <c r="A210" s="7" t="n">
        <v>1630264</v>
      </c>
      <c r="B210" s="7" t="s">
        <v>251</v>
      </c>
      <c r="C210" s="8" t="n">
        <v>259</v>
      </c>
      <c r="D210" s="8" t="n">
        <v>2901</v>
      </c>
      <c r="E210" s="8" t="n">
        <v>12067</v>
      </c>
      <c r="F210" s="9" t="n">
        <v>-1.291</v>
      </c>
      <c r="G210" s="9" t="n">
        <v>0.628792830058601</v>
      </c>
      <c r="H210" s="9" t="n">
        <v>0.24786280592899</v>
      </c>
      <c r="I210" s="9" t="n">
        <v>0.369425370561875</v>
      </c>
      <c r="J210" s="10" t="n">
        <v>9.35012064805239</v>
      </c>
      <c r="K210" s="10" t="n">
        <v>8.53795243019648</v>
      </c>
      <c r="L210" s="10" t="n">
        <v>1.03843502240607</v>
      </c>
      <c r="M210" s="10" t="n">
        <v>1.65984143398828</v>
      </c>
      <c r="N210" s="10" t="n">
        <v>11.1027231988969</v>
      </c>
      <c r="O210" s="10" t="n">
        <v>13.47438814202</v>
      </c>
      <c r="P210" s="11" t="n">
        <v>11.2007722007722</v>
      </c>
      <c r="Q210" s="8" t="n">
        <v>6.83547052740434</v>
      </c>
      <c r="R210" s="8" t="n">
        <v>11.8738710789383</v>
      </c>
      <c r="S210" s="9" t="n">
        <v>-0.472</v>
      </c>
      <c r="T210" s="9" t="n">
        <v>-0.819</v>
      </c>
    </row>
    <row r="211" customFormat="false" ht="15" hidden="false" customHeight="true" outlineLevel="0" collapsed="false">
      <c r="A211" s="7" t="n">
        <v>1630526</v>
      </c>
      <c r="B211" s="7" t="s">
        <v>252</v>
      </c>
      <c r="C211" s="8" t="n">
        <v>219</v>
      </c>
      <c r="D211" s="8" t="n">
        <v>3835</v>
      </c>
      <c r="E211" s="8" t="n">
        <v>15916</v>
      </c>
      <c r="F211" s="9" t="n">
        <v>-6.046</v>
      </c>
      <c r="G211" s="9" t="n">
        <v>0.540473272490222</v>
      </c>
      <c r="H211" s="9" t="n">
        <v>0.46656740547588</v>
      </c>
      <c r="I211" s="9" t="n">
        <v>0.166150717079531</v>
      </c>
      <c r="J211" s="10" t="n">
        <v>13.2018774445893</v>
      </c>
      <c r="K211" s="10" t="n">
        <v>7.84203389830509</v>
      </c>
      <c r="L211" s="10" t="n">
        <v>1.39384615384615</v>
      </c>
      <c r="M211" s="10" t="n">
        <v>0.908057366362451</v>
      </c>
      <c r="N211" s="10" t="n">
        <v>10.3198956975228</v>
      </c>
      <c r="O211" s="10" t="n">
        <v>14.7847457627119</v>
      </c>
      <c r="P211" s="11" t="n">
        <v>17.5114155251142</v>
      </c>
      <c r="Q211" s="8" t="n">
        <v>8.61859191655802</v>
      </c>
      <c r="R211" s="8" t="n">
        <v>17.9229465449804</v>
      </c>
      <c r="S211" s="9" t="n">
        <v>-3.471</v>
      </c>
      <c r="T211" s="9" t="n">
        <v>-2.575</v>
      </c>
    </row>
    <row r="212" customFormat="false" ht="15" hidden="false" customHeight="true" outlineLevel="0" collapsed="false">
      <c r="A212" s="7" t="n">
        <v>1630529</v>
      </c>
      <c r="B212" s="7" t="s">
        <v>253</v>
      </c>
      <c r="C212" s="8" t="n">
        <v>296</v>
      </c>
      <c r="D212" s="8" t="n">
        <v>8843</v>
      </c>
      <c r="E212" s="8" t="n">
        <v>37591</v>
      </c>
      <c r="F212" s="9" t="n">
        <v>3.837</v>
      </c>
      <c r="G212" s="9" t="n">
        <v>0.57114146782766</v>
      </c>
      <c r="H212" s="9" t="n">
        <v>0.400654755173584</v>
      </c>
      <c r="I212" s="9" t="n">
        <v>0.25657005541106</v>
      </c>
      <c r="J212" s="10" t="n">
        <v>6.90088205360172</v>
      </c>
      <c r="K212" s="10" t="n">
        <v>11.3831278977723</v>
      </c>
      <c r="L212" s="10" t="n">
        <v>2.55403143729504</v>
      </c>
      <c r="M212" s="10" t="n">
        <v>2.18844283614158</v>
      </c>
      <c r="N212" s="10" t="n">
        <v>13.1330204681669</v>
      </c>
      <c r="O212" s="10" t="n">
        <v>14.3168042519507</v>
      </c>
      <c r="P212" s="11" t="n">
        <v>29.875</v>
      </c>
      <c r="Q212" s="8" t="n">
        <v>4.20706773719326</v>
      </c>
      <c r="R212" s="8" t="n">
        <v>9.67167250932941</v>
      </c>
      <c r="S212" s="9" t="n">
        <v>0.931</v>
      </c>
      <c r="T212" s="9" t="n">
        <v>2.906</v>
      </c>
    </row>
    <row r="213" customFormat="false" ht="15" hidden="false" customHeight="true" outlineLevel="0" collapsed="false">
      <c r="A213" s="7" t="n">
        <v>1630530</v>
      </c>
      <c r="B213" s="7" t="s">
        <v>254</v>
      </c>
      <c r="C213" s="8" t="n">
        <v>317</v>
      </c>
      <c r="D213" s="8" t="n">
        <v>9197</v>
      </c>
      <c r="E213" s="8" t="n">
        <v>39146</v>
      </c>
      <c r="F213" s="9" t="n">
        <v>-1.306</v>
      </c>
      <c r="G213" s="9" t="n">
        <v>0.614473958899641</v>
      </c>
      <c r="H213" s="9" t="n">
        <v>0.602253778406002</v>
      </c>
      <c r="I213" s="9" t="n">
        <v>0.240084810264217</v>
      </c>
      <c r="J213" s="10" t="n">
        <v>8.09062737849299</v>
      </c>
      <c r="K213" s="10" t="n">
        <v>11.4890507774274</v>
      </c>
      <c r="L213" s="10" t="n">
        <v>1.68833315211482</v>
      </c>
      <c r="M213" s="10" t="n">
        <v>1.47937370881809</v>
      </c>
      <c r="N213" s="10" t="n">
        <v>7.46128085245189</v>
      </c>
      <c r="O213" s="10" t="n">
        <v>19.8669239969555</v>
      </c>
      <c r="P213" s="11" t="n">
        <v>29.01261829653</v>
      </c>
      <c r="Q213" s="8" t="n">
        <v>3.06990322931391</v>
      </c>
      <c r="R213" s="8" t="n">
        <v>13.197694900511</v>
      </c>
      <c r="S213" s="9" t="n">
        <v>-1.4</v>
      </c>
      <c r="T213" s="9" t="n">
        <v>0.094</v>
      </c>
    </row>
    <row r="214" customFormat="false" ht="15" hidden="false" customHeight="true" outlineLevel="0" collapsed="false">
      <c r="A214" s="7" t="n">
        <v>1630532</v>
      </c>
      <c r="B214" s="7" t="s">
        <v>255</v>
      </c>
      <c r="C214" s="8" t="n">
        <v>325</v>
      </c>
      <c r="D214" s="8" t="n">
        <v>10417</v>
      </c>
      <c r="E214" s="8" t="n">
        <v>44858</v>
      </c>
      <c r="F214" s="9" t="n">
        <v>4.76</v>
      </c>
      <c r="G214" s="9" t="n">
        <v>0.572745800134396</v>
      </c>
      <c r="H214" s="9" t="n">
        <v>0.29954113468369</v>
      </c>
      <c r="I214" s="9" t="n">
        <v>0.280174426418355</v>
      </c>
      <c r="J214" s="10" t="n">
        <v>8.56002687913987</v>
      </c>
      <c r="K214" s="10" t="n">
        <v>19.1325045598541</v>
      </c>
      <c r="L214" s="10" t="n">
        <v>1.55175194393779</v>
      </c>
      <c r="M214" s="10" t="n">
        <v>0.992205049438418</v>
      </c>
      <c r="N214" s="10" t="n">
        <v>10.2404915042719</v>
      </c>
      <c r="O214" s="10" t="n">
        <v>25.2561390035519</v>
      </c>
      <c r="P214" s="11" t="n">
        <v>32.0523076923077</v>
      </c>
      <c r="Q214" s="8" t="n">
        <v>3.44080829413459</v>
      </c>
      <c r="R214" s="8" t="n">
        <v>13.87072093693</v>
      </c>
      <c r="S214" s="9" t="n">
        <v>2.041</v>
      </c>
      <c r="T214" s="9" t="n">
        <v>2.719</v>
      </c>
    </row>
    <row r="215" customFormat="false" ht="15" hidden="false" customHeight="true" outlineLevel="0" collapsed="false">
      <c r="A215" s="7" t="n">
        <v>1630533</v>
      </c>
      <c r="B215" s="7" t="s">
        <v>256</v>
      </c>
      <c r="C215" s="8" t="n">
        <v>269</v>
      </c>
      <c r="D215" s="8" t="n">
        <v>5767</v>
      </c>
      <c r="E215" s="8" t="n">
        <v>24289</v>
      </c>
      <c r="F215" s="9" t="n">
        <v>-3.722</v>
      </c>
      <c r="G215" s="9" t="n">
        <v>0.547728801803364</v>
      </c>
      <c r="H215" s="9" t="n">
        <v>0.55549887289752</v>
      </c>
      <c r="I215" s="9" t="n">
        <v>0.211950060690134</v>
      </c>
      <c r="J215" s="10" t="n">
        <v>7.79386162649558</v>
      </c>
      <c r="K215" s="10" t="n">
        <v>8.18097797815155</v>
      </c>
      <c r="L215" s="10" t="n">
        <v>1.88137679902896</v>
      </c>
      <c r="M215" s="10" t="n">
        <v>1.24215363273799</v>
      </c>
      <c r="N215" s="10" t="n">
        <v>11.1054621120167</v>
      </c>
      <c r="O215" s="10" t="n">
        <v>17.8358071787758</v>
      </c>
      <c r="P215" s="11" t="n">
        <v>21.4386617100372</v>
      </c>
      <c r="Q215" s="8" t="n">
        <v>3.11512051326513</v>
      </c>
      <c r="R215" s="8" t="n">
        <v>12.8307265475984</v>
      </c>
      <c r="S215" s="9" t="n">
        <v>-2.751</v>
      </c>
      <c r="T215" s="9" t="n">
        <v>-0.971</v>
      </c>
    </row>
    <row r="216" customFormat="false" ht="15" hidden="false" customHeight="true" outlineLevel="0" collapsed="false">
      <c r="A216" s="7" t="n">
        <v>1630538</v>
      </c>
      <c r="B216" s="7" t="s">
        <v>257</v>
      </c>
      <c r="C216" s="8" t="n">
        <v>257</v>
      </c>
      <c r="D216" s="8" t="n">
        <v>4351</v>
      </c>
      <c r="E216" s="8" t="n">
        <v>18780</v>
      </c>
      <c r="F216" s="9" t="n">
        <v>-0.969</v>
      </c>
      <c r="G216" s="9" t="n">
        <v>0.555904849459894</v>
      </c>
      <c r="H216" s="9" t="n">
        <v>0.604233049873592</v>
      </c>
      <c r="I216" s="9" t="n">
        <v>0.181415766490462</v>
      </c>
      <c r="J216" s="10" t="n">
        <v>6.8066881176741</v>
      </c>
      <c r="K216" s="10" t="n">
        <v>22.5035164330039</v>
      </c>
      <c r="L216" s="10" t="n">
        <v>1.88850838887612</v>
      </c>
      <c r="M216" s="10" t="n">
        <v>1.25267754539186</v>
      </c>
      <c r="N216" s="10" t="n">
        <v>12.5379682831533</v>
      </c>
      <c r="O216" s="10" t="n">
        <v>24.3475063203861</v>
      </c>
      <c r="P216" s="11" t="n">
        <v>16.9299610894942</v>
      </c>
      <c r="Q216" s="8" t="n">
        <v>1.74844863249828</v>
      </c>
      <c r="R216" s="8" t="n">
        <v>11.6123190071248</v>
      </c>
      <c r="S216" s="9" t="n">
        <v>0.198</v>
      </c>
      <c r="T216" s="9" t="n">
        <v>-1.167</v>
      </c>
    </row>
    <row r="217" customFormat="false" ht="15" hidden="false" customHeight="true" outlineLevel="0" collapsed="false">
      <c r="A217" s="7" t="n">
        <v>1630540</v>
      </c>
      <c r="B217" s="7" t="s">
        <v>258</v>
      </c>
      <c r="C217" s="8" t="n">
        <v>277</v>
      </c>
      <c r="D217" s="8" t="n">
        <v>5133</v>
      </c>
      <c r="E217" s="8" t="n">
        <v>24328</v>
      </c>
      <c r="F217" s="9" t="n">
        <v>2.662</v>
      </c>
      <c r="G217" s="9" t="n">
        <v>0.5378607052406</v>
      </c>
      <c r="H217" s="9" t="n">
        <v>0.607585817260861</v>
      </c>
      <c r="I217" s="9" t="n">
        <v>0.126092538476524</v>
      </c>
      <c r="J217" s="10" t="n">
        <v>4.95581531268264</v>
      </c>
      <c r="K217" s="10" t="n">
        <v>13.8264562633937</v>
      </c>
      <c r="L217" s="10" t="n">
        <v>1.97297876485486</v>
      </c>
      <c r="M217" s="10" t="n">
        <v>0.798870056497175</v>
      </c>
      <c r="N217" s="10" t="n">
        <v>6.86123124878239</v>
      </c>
      <c r="O217" s="10" t="n">
        <v>16.4551724137931</v>
      </c>
      <c r="P217" s="11" t="n">
        <v>18.5306859205776</v>
      </c>
      <c r="Q217" s="8" t="n">
        <v>2.61488408338204</v>
      </c>
      <c r="R217" s="8" t="n">
        <v>7.31363724917202</v>
      </c>
      <c r="S217" s="9" t="n">
        <v>1.747</v>
      </c>
      <c r="T217" s="9" t="n">
        <v>0.915</v>
      </c>
    </row>
    <row r="218" customFormat="false" ht="15" hidden="false" customHeight="true" outlineLevel="0" collapsed="false">
      <c r="A218" s="7" t="n">
        <v>1630541</v>
      </c>
      <c r="B218" s="7" t="s">
        <v>259</v>
      </c>
      <c r="C218" s="8" t="n">
        <v>315</v>
      </c>
      <c r="D218" s="8" t="n">
        <v>5769</v>
      </c>
      <c r="E218" s="8" t="n">
        <v>25662</v>
      </c>
      <c r="F218" s="9" t="n">
        <v>-2.061</v>
      </c>
      <c r="G218" s="9" t="n">
        <v>0.586887155486219</v>
      </c>
      <c r="H218" s="9" t="n">
        <v>0.593103657479633</v>
      </c>
      <c r="I218" s="9" t="n">
        <v>0.21908511007107</v>
      </c>
      <c r="J218" s="10" t="n">
        <v>7.30076269717455</v>
      </c>
      <c r="K218" s="10" t="n">
        <v>7.88982492633039</v>
      </c>
      <c r="L218" s="10" t="n">
        <v>1.53185994106431</v>
      </c>
      <c r="M218" s="10" t="n">
        <v>1.71076443057722</v>
      </c>
      <c r="N218" s="10" t="n">
        <v>8.63841220315479</v>
      </c>
      <c r="O218" s="10" t="n">
        <v>17.2126191714335</v>
      </c>
      <c r="P218" s="11" t="n">
        <v>18.3142857142857</v>
      </c>
      <c r="Q218" s="8" t="n">
        <v>4.02147685907436</v>
      </c>
      <c r="R218" s="8" t="n">
        <v>10.5926157046282</v>
      </c>
      <c r="S218" s="9" t="n">
        <v>-2.098</v>
      </c>
      <c r="T218" s="9" t="n">
        <v>0.037</v>
      </c>
    </row>
    <row r="219" customFormat="false" ht="15" hidden="false" customHeight="true" outlineLevel="0" collapsed="false">
      <c r="A219" s="7" t="n">
        <v>1630543</v>
      </c>
      <c r="B219" s="7" t="s">
        <v>260</v>
      </c>
      <c r="C219" s="8" t="n">
        <v>218</v>
      </c>
      <c r="D219" s="8" t="n">
        <v>3346</v>
      </c>
      <c r="E219" s="8" t="n">
        <v>14588</v>
      </c>
      <c r="F219" s="9" t="n">
        <v>-1.415</v>
      </c>
      <c r="G219" s="9" t="n">
        <v>0.634465032875075</v>
      </c>
      <c r="H219" s="9" t="n">
        <v>0.0337588164973102</v>
      </c>
      <c r="I219" s="9" t="n">
        <v>0.448410938433951</v>
      </c>
      <c r="J219" s="10" t="n">
        <v>16.4638075313808</v>
      </c>
      <c r="K219" s="10" t="n">
        <v>7.07130902570233</v>
      </c>
      <c r="L219" s="10" t="n">
        <v>1.85002988643156</v>
      </c>
      <c r="M219" s="10" t="n">
        <v>6.72621040047818</v>
      </c>
      <c r="N219" s="10" t="n">
        <v>13.7523311416617</v>
      </c>
      <c r="O219" s="10" t="n">
        <v>17.8578900179319</v>
      </c>
      <c r="P219" s="11" t="n">
        <v>15.348623853211</v>
      </c>
      <c r="Q219" s="8" t="n">
        <v>12.9802151823072</v>
      </c>
      <c r="R219" s="8" t="n">
        <v>19.9896891811118</v>
      </c>
      <c r="S219" s="9" t="n">
        <v>-0.888</v>
      </c>
      <c r="T219" s="9" t="n">
        <v>-0.527</v>
      </c>
    </row>
    <row r="220" customFormat="false" ht="15" hidden="false" customHeight="true" outlineLevel="0" collapsed="false">
      <c r="A220" s="7" t="n">
        <v>1630544</v>
      </c>
      <c r="B220" s="7" t="s">
        <v>261</v>
      </c>
      <c r="C220" s="8" t="n">
        <v>234</v>
      </c>
      <c r="D220" s="8" t="n">
        <v>4525</v>
      </c>
      <c r="E220" s="8" t="n">
        <v>18389</v>
      </c>
      <c r="F220" s="9" t="n">
        <v>-4.353</v>
      </c>
      <c r="G220" s="9" t="n">
        <v>0.508070055248619</v>
      </c>
      <c r="H220" s="9" t="n">
        <v>0.463011712707182</v>
      </c>
      <c r="I220" s="9" t="n">
        <v>0.133861436464088</v>
      </c>
      <c r="J220" s="10" t="n">
        <v>7.21485082872928</v>
      </c>
      <c r="K220" s="10" t="n">
        <v>16.4085524861879</v>
      </c>
      <c r="L220" s="10" t="n">
        <v>1.83562430939227</v>
      </c>
      <c r="M220" s="10" t="n">
        <v>0.730497237569061</v>
      </c>
      <c r="N220" s="10" t="n">
        <v>12.4034917127072</v>
      </c>
      <c r="O220" s="10" t="n">
        <v>21.3054585635359</v>
      </c>
      <c r="P220" s="11" t="n">
        <v>19.3376068376068</v>
      </c>
      <c r="Q220" s="8" t="n">
        <v>2.45891712707182</v>
      </c>
      <c r="R220" s="8" t="n">
        <v>12.1270718232044</v>
      </c>
      <c r="S220" s="9" t="n">
        <v>-3.54</v>
      </c>
      <c r="T220" s="9" t="n">
        <v>-0.813</v>
      </c>
    </row>
    <row r="221" customFormat="false" ht="15" hidden="false" customHeight="true" outlineLevel="0" collapsed="false">
      <c r="A221" s="7" t="n">
        <v>1630549</v>
      </c>
      <c r="B221" s="7" t="s">
        <v>262</v>
      </c>
      <c r="C221" s="8" t="n">
        <v>253</v>
      </c>
      <c r="D221" s="8" t="n">
        <v>3932</v>
      </c>
      <c r="E221" s="8" t="n">
        <v>15867</v>
      </c>
      <c r="F221" s="9" t="n">
        <v>2.071</v>
      </c>
      <c r="G221" s="9" t="n">
        <v>0.599520600203459</v>
      </c>
      <c r="H221" s="9" t="n">
        <v>0.0908474059003051</v>
      </c>
      <c r="I221" s="9" t="n">
        <v>0.350236775178027</v>
      </c>
      <c r="J221" s="10" t="n">
        <v>21.3791454730417</v>
      </c>
      <c r="K221" s="10" t="n">
        <v>15.4116225839268</v>
      </c>
      <c r="L221" s="10" t="n">
        <v>1.99300610376399</v>
      </c>
      <c r="M221" s="10" t="n">
        <v>3.72901831129196</v>
      </c>
      <c r="N221" s="10" t="n">
        <v>17.341480162767</v>
      </c>
      <c r="O221" s="10" t="n">
        <v>19.9057985757884</v>
      </c>
      <c r="P221" s="11" t="n">
        <v>15.5415019762846</v>
      </c>
      <c r="Q221" s="8" t="n">
        <v>18.4454221770092</v>
      </c>
      <c r="R221" s="8" t="n">
        <v>24.5627924720244</v>
      </c>
      <c r="S221" s="9" t="n">
        <v>0.902</v>
      </c>
      <c r="T221" s="9" t="n">
        <v>1.17</v>
      </c>
    </row>
    <row r="222" customFormat="false" ht="15" hidden="false" customHeight="true" outlineLevel="0" collapsed="false">
      <c r="A222" s="7" t="n">
        <v>1630551</v>
      </c>
      <c r="B222" s="7" t="s">
        <v>263</v>
      </c>
      <c r="C222" s="8" t="n">
        <v>187</v>
      </c>
      <c r="D222" s="8" t="n">
        <v>3267</v>
      </c>
      <c r="E222" s="8" t="n">
        <v>13636</v>
      </c>
      <c r="F222" s="9" t="n">
        <v>-0.4</v>
      </c>
      <c r="G222" s="9" t="n">
        <v>0.590863789409244</v>
      </c>
      <c r="H222" s="9" t="n">
        <v>0.425013161922253</v>
      </c>
      <c r="I222" s="9" t="n">
        <v>0.191494031221304</v>
      </c>
      <c r="J222" s="10" t="n">
        <v>14.1027854300582</v>
      </c>
      <c r="K222" s="10" t="n">
        <v>7.85981022344659</v>
      </c>
      <c r="L222" s="10" t="n">
        <v>2.06519742883379</v>
      </c>
      <c r="M222" s="10" t="n">
        <v>2.54784205693297</v>
      </c>
      <c r="N222" s="10" t="n">
        <v>9.55815733088461</v>
      </c>
      <c r="O222" s="10" t="n">
        <v>15.8921640648913</v>
      </c>
      <c r="P222" s="11" t="n">
        <v>17.4705882352941</v>
      </c>
      <c r="Q222" s="8" t="n">
        <v>10.0783899602081</v>
      </c>
      <c r="R222" s="8" t="n">
        <v>18.1817263544536</v>
      </c>
      <c r="S222" s="9" t="n">
        <v>1.312</v>
      </c>
      <c r="T222" s="9" t="n">
        <v>-1.712</v>
      </c>
    </row>
    <row r="223" customFormat="false" ht="15" hidden="false" customHeight="true" outlineLevel="0" collapsed="false">
      <c r="A223" s="7" t="n">
        <v>1630552</v>
      </c>
      <c r="B223" s="7" t="s">
        <v>264</v>
      </c>
      <c r="C223" s="8" t="n">
        <v>256</v>
      </c>
      <c r="D223" s="8" t="n">
        <v>6867</v>
      </c>
      <c r="E223" s="8" t="n">
        <v>30434</v>
      </c>
      <c r="F223" s="9" t="n">
        <v>-0.409</v>
      </c>
      <c r="G223" s="9" t="n">
        <v>0.575641764962866</v>
      </c>
      <c r="H223" s="9" t="n">
        <v>0.284069753895442</v>
      </c>
      <c r="I223" s="9" t="n">
        <v>0.255253385757973</v>
      </c>
      <c r="J223" s="10" t="n">
        <v>15.0558468035532</v>
      </c>
      <c r="K223" s="10" t="n">
        <v>22.0642784330858</v>
      </c>
      <c r="L223" s="10" t="n">
        <v>1.74735692442114</v>
      </c>
      <c r="M223" s="10" t="n">
        <v>1.9480122324159</v>
      </c>
      <c r="N223" s="10" t="n">
        <v>13.3683122178535</v>
      </c>
      <c r="O223" s="10" t="n">
        <v>22.1817241881462</v>
      </c>
      <c r="P223" s="11" t="n">
        <v>26.82421875</v>
      </c>
      <c r="Q223" s="8" t="n">
        <v>4.52131935342945</v>
      </c>
      <c r="R223" s="8" t="n">
        <v>26.0477646716179</v>
      </c>
      <c r="S223" s="9" t="n">
        <v>-1.426</v>
      </c>
      <c r="T223" s="9" t="n">
        <v>1.017</v>
      </c>
    </row>
    <row r="224" customFormat="false" ht="15" hidden="false" customHeight="true" outlineLevel="0" collapsed="false">
      <c r="A224" s="7" t="n">
        <v>1630557</v>
      </c>
      <c r="B224" s="7" t="s">
        <v>265</v>
      </c>
      <c r="C224" s="8" t="n">
        <v>350</v>
      </c>
      <c r="D224" s="8" t="n">
        <v>8643</v>
      </c>
      <c r="E224" s="8" t="n">
        <v>35954</v>
      </c>
      <c r="F224" s="9" t="n">
        <v>-2.338</v>
      </c>
      <c r="G224" s="9" t="n">
        <v>0.613827953256971</v>
      </c>
      <c r="H224" s="9" t="n">
        <v>0.616833738285318</v>
      </c>
      <c r="I224" s="9" t="n">
        <v>0.168544371167419</v>
      </c>
      <c r="J224" s="10" t="n">
        <v>5.97087816730302</v>
      </c>
      <c r="K224" s="10" t="n">
        <v>8.60778664815458</v>
      </c>
      <c r="L224" s="10" t="n">
        <v>0.828878861506421</v>
      </c>
      <c r="M224" s="10" t="n">
        <v>0.684484553974315</v>
      </c>
      <c r="N224" s="10" t="n">
        <v>9.11354853638783</v>
      </c>
      <c r="O224" s="10" t="n">
        <v>16.712032858961</v>
      </c>
      <c r="P224" s="11" t="n">
        <v>24.6942857142857</v>
      </c>
      <c r="Q224" s="8" t="n">
        <v>2.2459562651857</v>
      </c>
      <c r="R224" s="8" t="n">
        <v>9.67513594816615</v>
      </c>
      <c r="S224" s="9" t="n">
        <v>0.135</v>
      </c>
      <c r="T224" s="9" t="n">
        <v>-2.472</v>
      </c>
    </row>
    <row r="225" customFormat="false" ht="15" hidden="false" customHeight="true" outlineLevel="0" collapsed="false">
      <c r="A225" s="7" t="n">
        <v>1630558</v>
      </c>
      <c r="B225" s="7" t="s">
        <v>266</v>
      </c>
      <c r="C225" s="8" t="n">
        <v>371</v>
      </c>
      <c r="D225" s="8" t="n">
        <v>8651</v>
      </c>
      <c r="E225" s="8" t="n">
        <v>36645</v>
      </c>
      <c r="F225" s="9" t="n">
        <v>0.079</v>
      </c>
      <c r="G225" s="9" t="n">
        <v>0.547948792047162</v>
      </c>
      <c r="H225" s="9" t="n">
        <v>0.438798751589412</v>
      </c>
      <c r="I225" s="9" t="n">
        <v>0.123271760490117</v>
      </c>
      <c r="J225" s="10" t="n">
        <v>4.51663391515432</v>
      </c>
      <c r="K225" s="10" t="n">
        <v>22.5933302508381</v>
      </c>
      <c r="L225" s="10" t="n">
        <v>1.42017107848804</v>
      </c>
      <c r="M225" s="10" t="n">
        <v>0.719003583400763</v>
      </c>
      <c r="N225" s="10" t="n">
        <v>14.7845220205757</v>
      </c>
      <c r="O225" s="10" t="n">
        <v>15.528886833892</v>
      </c>
      <c r="P225" s="11" t="n">
        <v>23.3180592991914</v>
      </c>
      <c r="Q225" s="8" t="n">
        <v>1.68229106461681</v>
      </c>
      <c r="R225" s="8" t="n">
        <v>7.36915963472431</v>
      </c>
      <c r="S225" s="9" t="n">
        <v>-0.543</v>
      </c>
      <c r="T225" s="9" t="n">
        <v>0.622</v>
      </c>
    </row>
    <row r="226" customFormat="false" ht="15" hidden="false" customHeight="true" outlineLevel="0" collapsed="false">
      <c r="A226" s="7" t="n">
        <v>1630559</v>
      </c>
      <c r="B226" s="7" t="s">
        <v>267</v>
      </c>
      <c r="C226" s="8" t="n">
        <v>331</v>
      </c>
      <c r="D226" s="8" t="n">
        <v>10202</v>
      </c>
      <c r="E226" s="8" t="n">
        <v>46790</v>
      </c>
      <c r="F226" s="9" t="n">
        <v>2.768</v>
      </c>
      <c r="G226" s="9" t="n">
        <v>0.630147029994119</v>
      </c>
      <c r="H226" s="9" t="n">
        <v>0.470068221917271</v>
      </c>
      <c r="I226" s="9" t="n">
        <v>0.396115075475397</v>
      </c>
      <c r="J226" s="10" t="n">
        <v>7.13956087041757</v>
      </c>
      <c r="K226" s="10" t="n">
        <v>20.6925112722996</v>
      </c>
      <c r="L226" s="10" t="n">
        <v>1.26900607723976</v>
      </c>
      <c r="M226" s="10" t="n">
        <v>0.939374632425015</v>
      </c>
      <c r="N226" s="10" t="n">
        <v>13.1670554793178</v>
      </c>
      <c r="O226" s="10" t="n">
        <v>20.4164771613409</v>
      </c>
      <c r="P226" s="11" t="n">
        <v>30.821752265861</v>
      </c>
      <c r="Q226" s="8" t="n">
        <v>2.57521074299157</v>
      </c>
      <c r="R226" s="8" t="n">
        <v>11.4206332091747</v>
      </c>
      <c r="S226" s="9" t="n">
        <v>2.386</v>
      </c>
      <c r="T226" s="9" t="n">
        <v>0.383</v>
      </c>
    </row>
    <row r="227" customFormat="false" ht="15" hidden="false" customHeight="true" outlineLevel="0" collapsed="false">
      <c r="A227" s="7" t="n">
        <v>1630560</v>
      </c>
      <c r="B227" s="7" t="s">
        <v>268</v>
      </c>
      <c r="C227" s="8" t="n">
        <v>257</v>
      </c>
      <c r="D227" s="8" t="n">
        <v>5861</v>
      </c>
      <c r="E227" s="8" t="n">
        <v>23702</v>
      </c>
      <c r="F227" s="9" t="n">
        <v>-4.487</v>
      </c>
      <c r="G227" s="9" t="n">
        <v>0.548270772905648</v>
      </c>
      <c r="H227" s="9" t="n">
        <v>0.346562190752431</v>
      </c>
      <c r="I227" s="9" t="n">
        <v>0.302746118409828</v>
      </c>
      <c r="J227" s="10" t="n">
        <v>5.88421771028835</v>
      </c>
      <c r="K227" s="10" t="n">
        <v>15.7669680941819</v>
      </c>
      <c r="L227" s="10" t="n">
        <v>1.04050503327077</v>
      </c>
      <c r="M227" s="10" t="n">
        <v>0.56536427230848</v>
      </c>
      <c r="N227" s="10" t="n">
        <v>9.78102712847637</v>
      </c>
      <c r="O227" s="10" t="n">
        <v>28.6276062105443</v>
      </c>
      <c r="P227" s="11" t="n">
        <v>22.8054474708171</v>
      </c>
      <c r="Q227" s="8" t="n">
        <v>1.44864357618154</v>
      </c>
      <c r="R227" s="8" t="n">
        <v>10.4412898822727</v>
      </c>
      <c r="S227" s="9" t="n">
        <v>-0.262</v>
      </c>
      <c r="T227" s="9" t="n">
        <v>-4.225</v>
      </c>
    </row>
    <row r="228" customFormat="false" ht="15" hidden="false" customHeight="true" outlineLevel="0" collapsed="false">
      <c r="A228" s="7" t="n">
        <v>1630567</v>
      </c>
      <c r="B228" s="7" t="s">
        <v>269</v>
      </c>
      <c r="C228" s="8" t="n">
        <v>356</v>
      </c>
      <c r="D228" s="8" t="n">
        <v>12204</v>
      </c>
      <c r="E228" s="8" t="n">
        <v>51072</v>
      </c>
      <c r="F228" s="9" t="n">
        <v>0.971</v>
      </c>
      <c r="G228" s="9" t="n">
        <v>0.548679039659128</v>
      </c>
      <c r="H228" s="9" t="n">
        <v>0.23624680432645</v>
      </c>
      <c r="I228" s="9" t="n">
        <v>0.255936332350049</v>
      </c>
      <c r="J228" s="10" t="n">
        <v>12.0597345132743</v>
      </c>
      <c r="K228" s="10" t="n">
        <v>22.6577187807276</v>
      </c>
      <c r="L228" s="10" t="n">
        <v>1.77104228121927</v>
      </c>
      <c r="M228" s="10" t="n">
        <v>2.98021140609636</v>
      </c>
      <c r="N228" s="10" t="n">
        <v>12.9602753195674</v>
      </c>
      <c r="O228" s="10" t="n">
        <v>22.6459357587676</v>
      </c>
      <c r="P228" s="11" t="n">
        <v>34.2808988764045</v>
      </c>
      <c r="Q228" s="8" t="n">
        <v>6.77248443133399</v>
      </c>
      <c r="R228" s="8" t="n">
        <v>17.7385201573255</v>
      </c>
      <c r="S228" s="9" t="n">
        <v>-0.244</v>
      </c>
      <c r="T228" s="9" t="n">
        <v>1.215</v>
      </c>
    </row>
    <row r="229" customFormat="false" ht="15" hidden="false" customHeight="true" outlineLevel="0" collapsed="false">
      <c r="A229" s="7" t="n">
        <v>1630570</v>
      </c>
      <c r="B229" s="7" t="s">
        <v>270</v>
      </c>
      <c r="C229" s="8" t="n">
        <v>270</v>
      </c>
      <c r="D229" s="8" t="n">
        <v>4684</v>
      </c>
      <c r="E229" s="8" t="n">
        <v>19246</v>
      </c>
      <c r="F229" s="9" t="n">
        <v>-3.773</v>
      </c>
      <c r="G229" s="9" t="n">
        <v>0.593101836037575</v>
      </c>
      <c r="H229" s="9" t="n">
        <v>0.19975</v>
      </c>
      <c r="I229" s="9" t="n">
        <v>0.321516865926559</v>
      </c>
      <c r="J229" s="10" t="n">
        <v>11.4896883005978</v>
      </c>
      <c r="K229" s="10" t="n">
        <v>17.5288642186166</v>
      </c>
      <c r="L229" s="10" t="n">
        <v>1.28375320239112</v>
      </c>
      <c r="M229" s="10" t="n">
        <v>1.88238684884714</v>
      </c>
      <c r="N229" s="10" t="n">
        <v>15.7277540563621</v>
      </c>
      <c r="O229" s="10" t="n">
        <v>19.0274765157985</v>
      </c>
      <c r="P229" s="11" t="n">
        <v>17.3481481481482</v>
      </c>
      <c r="Q229" s="8" t="n">
        <v>5.24577284372331</v>
      </c>
      <c r="R229" s="8" t="n">
        <v>18.0599914602904</v>
      </c>
      <c r="S229" s="9" t="n">
        <v>-2.41</v>
      </c>
      <c r="T229" s="9" t="n">
        <v>-1.363</v>
      </c>
    </row>
    <row r="230" customFormat="false" ht="15" hidden="false" customHeight="true" outlineLevel="0" collapsed="false">
      <c r="A230" s="7" t="n">
        <v>1630572</v>
      </c>
      <c r="B230" s="7" t="s">
        <v>271</v>
      </c>
      <c r="C230" s="8" t="n">
        <v>271</v>
      </c>
      <c r="D230" s="8" t="n">
        <v>3950</v>
      </c>
      <c r="E230" s="8" t="n">
        <v>16648</v>
      </c>
      <c r="F230" s="9" t="n">
        <v>0.356</v>
      </c>
      <c r="G230" s="9" t="n">
        <v>0.604367088607595</v>
      </c>
      <c r="H230" s="9" t="n">
        <v>0.472268101265823</v>
      </c>
      <c r="I230" s="9" t="n">
        <v>0.232461265822785</v>
      </c>
      <c r="J230" s="10" t="n">
        <v>13.8435443037975</v>
      </c>
      <c r="K230" s="10" t="n">
        <v>12.0010886075949</v>
      </c>
      <c r="L230" s="10" t="n">
        <v>1.43412658227848</v>
      </c>
      <c r="M230" s="10" t="n">
        <v>2.13430379746836</v>
      </c>
      <c r="N230" s="10" t="n">
        <v>9.47886075949367</v>
      </c>
      <c r="O230" s="10" t="n">
        <v>18.4862025316456</v>
      </c>
      <c r="P230" s="11" t="n">
        <v>14.5756457564576</v>
      </c>
      <c r="Q230" s="8" t="n">
        <v>8.78237974683544</v>
      </c>
      <c r="R230" s="8" t="n">
        <v>18.9615696202532</v>
      </c>
      <c r="S230" s="9" t="n">
        <v>0.4</v>
      </c>
      <c r="T230" s="9" t="n">
        <v>-0.044</v>
      </c>
    </row>
    <row r="231" customFormat="false" ht="15" hidden="false" customHeight="true" outlineLevel="0" collapsed="false">
      <c r="A231" s="7" t="n">
        <v>1630573</v>
      </c>
      <c r="B231" s="7" t="s">
        <v>272</v>
      </c>
      <c r="C231" s="8" t="n">
        <v>334</v>
      </c>
      <c r="D231" s="8" t="n">
        <v>6664</v>
      </c>
      <c r="E231" s="8" t="n">
        <v>29169</v>
      </c>
      <c r="F231" s="9" t="n">
        <v>2.899</v>
      </c>
      <c r="G231" s="9" t="n">
        <v>0.619841086434574</v>
      </c>
      <c r="H231" s="9" t="n">
        <v>0.840453331332533</v>
      </c>
      <c r="I231" s="9" t="n">
        <v>0.0321021908763505</v>
      </c>
      <c r="J231" s="10" t="n">
        <v>8.43993097238896</v>
      </c>
      <c r="K231" s="10" t="n">
        <v>6.9406362545018</v>
      </c>
      <c r="L231" s="10" t="n">
        <v>1.09825930372149</v>
      </c>
      <c r="M231" s="10" t="n">
        <v>1.17234393757503</v>
      </c>
      <c r="N231" s="10" t="n">
        <v>5.44131152460984</v>
      </c>
      <c r="O231" s="10" t="n">
        <v>14.6230942376951</v>
      </c>
      <c r="P231" s="11" t="n">
        <v>19.9520958083832</v>
      </c>
      <c r="Q231" s="8" t="n">
        <v>3.09591836734694</v>
      </c>
      <c r="R231" s="8" t="n">
        <v>13.5716986794718</v>
      </c>
      <c r="S231" s="9" t="n">
        <v>2.306</v>
      </c>
      <c r="T231" s="9" t="n">
        <v>0.593</v>
      </c>
    </row>
    <row r="232" customFormat="false" ht="15" hidden="false" customHeight="true" outlineLevel="0" collapsed="false">
      <c r="A232" s="7" t="n">
        <v>1630578</v>
      </c>
      <c r="B232" s="7" t="s">
        <v>273</v>
      </c>
      <c r="C232" s="8" t="n">
        <v>358</v>
      </c>
      <c r="D232" s="8" t="n">
        <v>10499</v>
      </c>
      <c r="E232" s="8" t="n">
        <v>44535</v>
      </c>
      <c r="F232" s="9" t="n">
        <v>0.463</v>
      </c>
      <c r="G232" s="9" t="n">
        <v>0.570435660539099</v>
      </c>
      <c r="H232" s="9" t="n">
        <v>0.113073340318126</v>
      </c>
      <c r="I232" s="9" t="n">
        <v>0.368723306981617</v>
      </c>
      <c r="J232" s="10" t="n">
        <v>15.9658919897133</v>
      </c>
      <c r="K232" s="10" t="n">
        <v>24.0605581483951</v>
      </c>
      <c r="L232" s="10" t="n">
        <v>1.75001428707496</v>
      </c>
      <c r="M232" s="10" t="n">
        <v>2.86229164682351</v>
      </c>
      <c r="N232" s="10" t="n">
        <v>15.0026669206591</v>
      </c>
      <c r="O232" s="10" t="n">
        <v>24.859053243166</v>
      </c>
      <c r="P232" s="11" t="n">
        <v>29.3268156424581</v>
      </c>
      <c r="Q232" s="8" t="n">
        <v>10.6931898276026</v>
      </c>
      <c r="R232" s="8" t="n">
        <v>21.3417087341652</v>
      </c>
      <c r="S232" s="9" t="n">
        <v>1.063</v>
      </c>
      <c r="T232" s="9" t="n">
        <v>-0.6</v>
      </c>
    </row>
    <row r="233" customFormat="false" ht="15" hidden="false" customHeight="true" outlineLevel="0" collapsed="false">
      <c r="A233" s="7" t="n">
        <v>1630579</v>
      </c>
      <c r="B233" s="7" t="s">
        <v>274</v>
      </c>
      <c r="C233" s="8" t="n">
        <v>258</v>
      </c>
      <c r="D233" s="8" t="n">
        <v>3902</v>
      </c>
      <c r="E233" s="8" t="n">
        <v>15753</v>
      </c>
      <c r="F233" s="9" t="n">
        <v>-3.331</v>
      </c>
      <c r="G233" s="9" t="n">
        <v>0.727689390056381</v>
      </c>
      <c r="H233" s="9" t="n">
        <v>0.0018728856996412</v>
      </c>
      <c r="I233" s="9" t="n">
        <v>0.332307278318811</v>
      </c>
      <c r="J233" s="10" t="n">
        <v>16.0806509482317</v>
      </c>
      <c r="K233" s="10" t="n">
        <v>7.04661711942594</v>
      </c>
      <c r="L233" s="10" t="n">
        <v>0.8004869297796</v>
      </c>
      <c r="M233" s="10" t="n">
        <v>2.56301896463352</v>
      </c>
      <c r="N233" s="10" t="n">
        <v>23.7886468477704</v>
      </c>
      <c r="O233" s="10" t="n">
        <v>7.96204510507432</v>
      </c>
      <c r="P233" s="11" t="n">
        <v>15.1240310077519</v>
      </c>
      <c r="Q233" s="8" t="n">
        <v>12.4009482316761</v>
      </c>
      <c r="R233" s="8" t="n">
        <v>19.6713992824193</v>
      </c>
      <c r="S233" s="9" t="n">
        <v>-2.96</v>
      </c>
      <c r="T233" s="9" t="n">
        <v>-0.371</v>
      </c>
    </row>
    <row r="234" customFormat="false" ht="15" hidden="false" customHeight="true" outlineLevel="0" collapsed="false">
      <c r="A234" s="7" t="n">
        <v>1630581</v>
      </c>
      <c r="B234" s="7" t="s">
        <v>275</v>
      </c>
      <c r="C234" s="8" t="n">
        <v>334</v>
      </c>
      <c r="D234" s="8" t="n">
        <v>9926</v>
      </c>
      <c r="E234" s="8" t="n">
        <v>42676</v>
      </c>
      <c r="F234" s="9" t="n">
        <v>-1.756</v>
      </c>
      <c r="G234" s="9" t="n">
        <v>0.539365303244006</v>
      </c>
      <c r="H234" s="9" t="n">
        <v>0.305553193632883</v>
      </c>
      <c r="I234" s="9" t="n">
        <v>0.196176808382027</v>
      </c>
      <c r="J234" s="10" t="n">
        <v>13.6701692524683</v>
      </c>
      <c r="K234" s="10" t="n">
        <v>32.2354724964739</v>
      </c>
      <c r="L234" s="10" t="n">
        <v>1.42914567801733</v>
      </c>
      <c r="M234" s="10" t="n">
        <v>1.50779770300222</v>
      </c>
      <c r="N234" s="10" t="n">
        <v>17.4113943179529</v>
      </c>
      <c r="O234" s="10" t="n">
        <v>23.2316743904896</v>
      </c>
      <c r="P234" s="11" t="n">
        <v>29.7185628742515</v>
      </c>
      <c r="Q234" s="8" t="n">
        <v>5.96127342333266</v>
      </c>
      <c r="R234" s="8" t="n">
        <v>21.3234636308684</v>
      </c>
      <c r="S234" s="9" t="n">
        <v>-1.092</v>
      </c>
      <c r="T234" s="9" t="n">
        <v>-0.665</v>
      </c>
    </row>
    <row r="235" customFormat="false" ht="15" hidden="false" customHeight="true" outlineLevel="0" collapsed="false">
      <c r="A235" s="7" t="n">
        <v>1630583</v>
      </c>
      <c r="B235" s="7" t="s">
        <v>276</v>
      </c>
      <c r="C235" s="8" t="n">
        <v>278</v>
      </c>
      <c r="D235" s="8" t="n">
        <v>6518</v>
      </c>
      <c r="E235" s="8" t="n">
        <v>28040</v>
      </c>
      <c r="F235" s="9" t="n">
        <v>-1.524</v>
      </c>
      <c r="G235" s="9" t="n">
        <v>0.566158330776312</v>
      </c>
      <c r="H235" s="9" t="n">
        <v>0.489043264805155</v>
      </c>
      <c r="I235" s="9" t="n">
        <v>0.202909481436023</v>
      </c>
      <c r="J235" s="10" t="n">
        <v>12.4457809143909</v>
      </c>
      <c r="K235" s="10" t="n">
        <v>12.4447990181037</v>
      </c>
      <c r="L235" s="10" t="n">
        <v>1.36007977907334</v>
      </c>
      <c r="M235" s="10" t="n">
        <v>2.427155569193</v>
      </c>
      <c r="N235" s="10" t="n">
        <v>9.59331083154342</v>
      </c>
      <c r="O235" s="10" t="n">
        <v>18.0128567045106</v>
      </c>
      <c r="P235" s="11" t="n">
        <v>23.4460431654676</v>
      </c>
      <c r="Q235" s="8" t="n">
        <v>5.73571647744707</v>
      </c>
      <c r="R235" s="8" t="n">
        <v>19.3071801166002</v>
      </c>
      <c r="S235" s="9" t="n">
        <v>-0.402</v>
      </c>
      <c r="T235" s="9" t="n">
        <v>-1.122</v>
      </c>
    </row>
    <row r="236" customFormat="false" ht="15" hidden="false" customHeight="true" outlineLevel="0" collapsed="false">
      <c r="A236" s="7" t="n">
        <v>1630591</v>
      </c>
      <c r="B236" s="7" t="s">
        <v>277</v>
      </c>
      <c r="C236" s="8" t="n">
        <v>268</v>
      </c>
      <c r="D236" s="8" t="n">
        <v>7154</v>
      </c>
      <c r="E236" s="8" t="n">
        <v>31485</v>
      </c>
      <c r="F236" s="9" t="n">
        <v>0.81</v>
      </c>
      <c r="G236" s="9" t="n">
        <v>0.543990634610008</v>
      </c>
      <c r="H236" s="9" t="n">
        <v>0.489780123008107</v>
      </c>
      <c r="I236" s="9" t="n">
        <v>0.234321358680459</v>
      </c>
      <c r="J236" s="10" t="n">
        <v>7.25083869164104</v>
      </c>
      <c r="K236" s="10" t="n">
        <v>21.4678361755661</v>
      </c>
      <c r="L236" s="10" t="n">
        <v>2.64492591557171</v>
      </c>
      <c r="M236" s="10" t="n">
        <v>2.18022085546547</v>
      </c>
      <c r="N236" s="10" t="n">
        <v>16.4470086664803</v>
      </c>
      <c r="O236" s="10" t="n">
        <v>22.6241263628739</v>
      </c>
      <c r="P236" s="11" t="n">
        <v>26.6940298507463</v>
      </c>
      <c r="Q236" s="8" t="n">
        <v>2.9472602739726</v>
      </c>
      <c r="R236" s="8" t="n">
        <v>11.7030612244898</v>
      </c>
      <c r="S236" s="9" t="n">
        <v>-2.046</v>
      </c>
      <c r="T236" s="9" t="n">
        <v>2.855</v>
      </c>
    </row>
    <row r="237" customFormat="false" ht="15" hidden="false" customHeight="true" outlineLevel="0" collapsed="false">
      <c r="A237" s="7" t="n">
        <v>1630595</v>
      </c>
      <c r="B237" s="7" t="s">
        <v>278</v>
      </c>
      <c r="C237" s="8" t="n">
        <v>272</v>
      </c>
      <c r="D237" s="8" t="n">
        <v>9186</v>
      </c>
      <c r="E237" s="8" t="n">
        <v>41161</v>
      </c>
      <c r="F237" s="9" t="n">
        <v>2.289</v>
      </c>
      <c r="G237" s="9" t="n">
        <v>0.543429566731983</v>
      </c>
      <c r="H237" s="9" t="n">
        <v>0.306086871325931</v>
      </c>
      <c r="I237" s="9" t="n">
        <v>0.242167864141084</v>
      </c>
      <c r="J237" s="10" t="n">
        <v>8.90311343348574</v>
      </c>
      <c r="K237" s="10" t="n">
        <v>38.5833006749401</v>
      </c>
      <c r="L237" s="10" t="n">
        <v>1.60150228608752</v>
      </c>
      <c r="M237" s="10" t="n">
        <v>1.85205747877204</v>
      </c>
      <c r="N237" s="10" t="n">
        <v>15.5324406705857</v>
      </c>
      <c r="O237" s="10" t="n">
        <v>30.5847594165034</v>
      </c>
      <c r="P237" s="11" t="n">
        <v>33.7720588235294</v>
      </c>
      <c r="Q237" s="8" t="n">
        <v>2.53535815371217</v>
      </c>
      <c r="R237" s="8" t="n">
        <v>15.363879817113</v>
      </c>
      <c r="S237" s="9" t="n">
        <v>1.402</v>
      </c>
      <c r="T237" s="9" t="n">
        <v>0.887</v>
      </c>
    </row>
    <row r="238" customFormat="false" ht="15" hidden="false" customHeight="true" outlineLevel="0" collapsed="false">
      <c r="A238" s="7" t="n">
        <v>1630596</v>
      </c>
      <c r="B238" s="7" t="s">
        <v>279</v>
      </c>
      <c r="C238" s="8" t="n">
        <v>334</v>
      </c>
      <c r="D238" s="8" t="n">
        <v>10819</v>
      </c>
      <c r="E238" s="8" t="n">
        <v>49421</v>
      </c>
      <c r="F238" s="9" t="n">
        <v>-0.05</v>
      </c>
      <c r="G238" s="9" t="n">
        <v>0.596277936962751</v>
      </c>
      <c r="H238" s="9" t="n">
        <v>0.163627414733339</v>
      </c>
      <c r="I238" s="9" t="n">
        <v>0.323776874017931</v>
      </c>
      <c r="J238" s="10" t="n">
        <v>15.4850170995471</v>
      </c>
      <c r="K238" s="10" t="n">
        <v>14.107523800721</v>
      </c>
      <c r="L238" s="10" t="n">
        <v>1.23827525649321</v>
      </c>
      <c r="M238" s="10" t="n">
        <v>4.48474905259266</v>
      </c>
      <c r="N238" s="10" t="n">
        <v>11.9802477123579</v>
      </c>
      <c r="O238" s="10" t="n">
        <v>21.3606987706812</v>
      </c>
      <c r="P238" s="11" t="n">
        <v>32.3922155688623</v>
      </c>
      <c r="Q238" s="8" t="n">
        <v>7.95404381181255</v>
      </c>
      <c r="R238" s="8" t="n">
        <v>22.7886958129217</v>
      </c>
      <c r="S238" s="9" t="n">
        <v>-2.237</v>
      </c>
      <c r="T238" s="9" t="n">
        <v>2.186</v>
      </c>
    </row>
    <row r="239" customFormat="false" ht="15" hidden="false" customHeight="true" outlineLevel="0" collapsed="false">
      <c r="A239" s="7" t="n">
        <v>1630598</v>
      </c>
      <c r="B239" s="7" t="s">
        <v>280</v>
      </c>
      <c r="C239" s="8" t="n">
        <v>339</v>
      </c>
      <c r="D239" s="8" t="n">
        <v>6892</v>
      </c>
      <c r="E239" s="8" t="n">
        <v>30670</v>
      </c>
      <c r="F239" s="9" t="n">
        <v>0.578</v>
      </c>
      <c r="G239" s="9" t="n">
        <v>0.591269733023796</v>
      </c>
      <c r="H239" s="9" t="n">
        <v>0.415813261752757</v>
      </c>
      <c r="I239" s="9" t="n">
        <v>0.172952408589669</v>
      </c>
      <c r="J239" s="10" t="n">
        <v>8.32912071967499</v>
      </c>
      <c r="K239" s="10" t="n">
        <v>9.56715031921068</v>
      </c>
      <c r="L239" s="10" t="n">
        <v>1.72698781195589</v>
      </c>
      <c r="M239" s="10" t="n">
        <v>1.23965467208358</v>
      </c>
      <c r="N239" s="10" t="n">
        <v>11.3270168311085</v>
      </c>
      <c r="O239" s="10" t="n">
        <v>17.554439930354</v>
      </c>
      <c r="P239" s="11" t="n">
        <v>20.330383480826</v>
      </c>
      <c r="Q239" s="8" t="n">
        <v>4.77254788160186</v>
      </c>
      <c r="R239" s="8" t="n">
        <v>11.8125943122461</v>
      </c>
      <c r="S239" s="9" t="n">
        <v>0.639</v>
      </c>
      <c r="T239" s="9" t="n">
        <v>-0.061</v>
      </c>
    </row>
    <row r="240" customFormat="false" ht="15" hidden="false" customHeight="true" outlineLevel="0" collapsed="false">
      <c r="A240" s="7" t="n">
        <v>1630625</v>
      </c>
      <c r="B240" s="7" t="s">
        <v>281</v>
      </c>
      <c r="C240" s="8" t="n">
        <v>222</v>
      </c>
      <c r="D240" s="8" t="n">
        <v>3204</v>
      </c>
      <c r="E240" s="8" t="n">
        <v>13030</v>
      </c>
      <c r="F240" s="9" t="n">
        <v>-2.91</v>
      </c>
      <c r="G240" s="9" t="n">
        <v>0.491417915106117</v>
      </c>
      <c r="H240" s="9" t="n">
        <v>0.373649188514357</v>
      </c>
      <c r="I240" s="9" t="n">
        <v>0.234678214731586</v>
      </c>
      <c r="J240" s="10" t="n">
        <v>8.36317103620474</v>
      </c>
      <c r="K240" s="10" t="n">
        <v>20.2799937578028</v>
      </c>
      <c r="L240" s="10" t="n">
        <v>1.85271535580524</v>
      </c>
      <c r="M240" s="10" t="n">
        <v>2.38701622971286</v>
      </c>
      <c r="N240" s="10" t="n">
        <v>14.5332084893883</v>
      </c>
      <c r="O240" s="10" t="n">
        <v>22.8972222222222</v>
      </c>
      <c r="P240" s="11" t="n">
        <v>14.4324324324324</v>
      </c>
      <c r="Q240" s="8" t="n">
        <v>4.00505617977528</v>
      </c>
      <c r="R240" s="8" t="n">
        <v>13.0635143570537</v>
      </c>
      <c r="S240" s="9" t="n">
        <v>-2.206</v>
      </c>
      <c r="T240" s="9" t="n">
        <v>-0.704</v>
      </c>
    </row>
    <row r="241" customFormat="false" ht="15" hidden="false" customHeight="true" outlineLevel="0" collapsed="false">
      <c r="A241" s="7" t="n">
        <v>1630631</v>
      </c>
      <c r="B241" s="7" t="s">
        <v>282</v>
      </c>
      <c r="C241" s="8" t="n">
        <v>296</v>
      </c>
      <c r="D241" s="8" t="n">
        <v>5908</v>
      </c>
      <c r="E241" s="8" t="n">
        <v>25439</v>
      </c>
      <c r="F241" s="9" t="n">
        <v>2.964</v>
      </c>
      <c r="G241" s="9" t="n">
        <v>0.530615775220041</v>
      </c>
      <c r="H241" s="9" t="n">
        <v>0.554457345971564</v>
      </c>
      <c r="I241" s="9" t="n">
        <v>0.144532836831415</v>
      </c>
      <c r="J241" s="10" t="n">
        <v>6.31025727826676</v>
      </c>
      <c r="K241" s="10" t="n">
        <v>22.5407582938389</v>
      </c>
      <c r="L241" s="10" t="n">
        <v>2.76892349356804</v>
      </c>
      <c r="M241" s="10" t="n">
        <v>0.882092078537576</v>
      </c>
      <c r="N241" s="10" t="n">
        <v>12.625355450237</v>
      </c>
      <c r="O241" s="10" t="n">
        <v>18.4716993906567</v>
      </c>
      <c r="P241" s="11" t="n">
        <v>19.9594594594595</v>
      </c>
      <c r="Q241" s="8" t="n">
        <v>2.42620176032498</v>
      </c>
      <c r="R241" s="8" t="n">
        <v>10.274576844956</v>
      </c>
      <c r="S241" s="9" t="n">
        <v>0.82</v>
      </c>
      <c r="T241" s="9" t="n">
        <v>2.143</v>
      </c>
    </row>
    <row r="242" customFormat="false" ht="15" hidden="false" customHeight="true" outlineLevel="0" collapsed="false">
      <c r="A242" s="7" t="n">
        <v>1630643</v>
      </c>
      <c r="B242" s="7" t="s">
        <v>283</v>
      </c>
      <c r="C242" s="8" t="n">
        <v>177</v>
      </c>
      <c r="D242" s="8" t="n">
        <v>2631</v>
      </c>
      <c r="E242" s="8" t="n">
        <v>11201</v>
      </c>
      <c r="F242" s="9" t="n">
        <v>-2.91</v>
      </c>
      <c r="G242" s="9" t="n">
        <v>0.622282782212087</v>
      </c>
      <c r="H242" s="9" t="n">
        <v>0.618630938806537</v>
      </c>
      <c r="I242" s="9" t="n">
        <v>0.183742683390346</v>
      </c>
      <c r="J242" s="10" t="n">
        <v>10.0739642721399</v>
      </c>
      <c r="K242" s="10" t="n">
        <v>9.46503230710756</v>
      </c>
      <c r="L242" s="10" t="n">
        <v>1.11265678449259</v>
      </c>
      <c r="M242" s="10" t="n">
        <v>7.1882934245534</v>
      </c>
      <c r="N242" s="10" t="n">
        <v>10.2263778031167</v>
      </c>
      <c r="O242" s="10" t="n">
        <v>18.2878373242113</v>
      </c>
      <c r="P242" s="11" t="n">
        <v>14.864406779661</v>
      </c>
      <c r="Q242" s="8" t="n">
        <v>4.55480805777271</v>
      </c>
      <c r="R242" s="8" t="n">
        <v>15.6376662865831</v>
      </c>
      <c r="S242" s="9" t="n">
        <v>-3.199</v>
      </c>
      <c r="T242" s="9" t="n">
        <v>0.289</v>
      </c>
    </row>
    <row r="243" customFormat="false" ht="15" hidden="false" customHeight="true" outlineLevel="0" collapsed="false">
      <c r="A243" s="7" t="n">
        <v>1630692</v>
      </c>
      <c r="B243" s="7" t="s">
        <v>284</v>
      </c>
      <c r="C243" s="8" t="n">
        <v>220</v>
      </c>
      <c r="D243" s="8" t="n">
        <v>4282</v>
      </c>
      <c r="E243" s="8" t="n">
        <v>17449</v>
      </c>
      <c r="F243" s="9" t="n">
        <v>0.026</v>
      </c>
      <c r="G243" s="9" t="n">
        <v>0.509610929472209</v>
      </c>
      <c r="H243" s="9" t="n">
        <v>0.437216487622606</v>
      </c>
      <c r="I243" s="9" t="n">
        <v>0.135025688930406</v>
      </c>
      <c r="J243" s="10" t="n">
        <v>11.8265530126109</v>
      </c>
      <c r="K243" s="10" t="n">
        <v>16.8460999532929</v>
      </c>
      <c r="L243" s="10" t="n">
        <v>2.76746847267632</v>
      </c>
      <c r="M243" s="10" t="n">
        <v>1.48213451658104</v>
      </c>
      <c r="N243" s="10" t="n">
        <v>12.0573563755255</v>
      </c>
      <c r="O243" s="10" t="n">
        <v>17.3933442316675</v>
      </c>
      <c r="P243" s="11" t="n">
        <v>19.4636363636364</v>
      </c>
      <c r="Q243" s="8" t="n">
        <v>8.31914992993928</v>
      </c>
      <c r="R243" s="8" t="n">
        <v>15.3042503503036</v>
      </c>
      <c r="S243" s="9" t="n">
        <v>-0.95</v>
      </c>
      <c r="T243" s="9" t="n">
        <v>0.976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4"/>
    <col collapsed="false" customWidth="true" hidden="false" outlineLevel="0" max="3" min="3" style="1" width="80"/>
  </cols>
  <sheetData>
    <row r="1" customFormat="false" ht="17.25" hidden="false" customHeight="true" outlineLevel="0" collapsed="false">
      <c r="A1" s="2" t="s">
        <v>285</v>
      </c>
      <c r="B1" s="3"/>
      <c r="C1" s="3"/>
    </row>
    <row r="2" customFormat="false" ht="15" hidden="false" customHeight="true" outlineLevel="0" collapsed="false">
      <c r="A2" s="3"/>
      <c r="B2" s="3"/>
      <c r="C2" s="3"/>
    </row>
    <row r="3" customFormat="false" ht="15" hidden="false" customHeight="true" outlineLevel="0" collapsed="false">
      <c r="A3" s="6" t="s">
        <v>286</v>
      </c>
      <c r="B3" s="6" t="s">
        <v>287</v>
      </c>
      <c r="C3" s="6" t="s">
        <v>288</v>
      </c>
    </row>
    <row r="4" customFormat="false" ht="15" hidden="false" customHeight="true" outlineLevel="0" collapsed="false">
      <c r="A4" s="12" t="s">
        <v>289</v>
      </c>
      <c r="B4" s="13" t="n">
        <f aca="false">COUNT(Data!$F$2:$F$243)</f>
        <v>242</v>
      </c>
      <c r="C4" s="14" t="s">
        <v>290</v>
      </c>
    </row>
    <row r="5" customFormat="false" ht="15" hidden="false" customHeight="true" outlineLevel="0" collapsed="false">
      <c r="A5" s="12" t="s">
        <v>291</v>
      </c>
      <c r="B5" s="13" t="n">
        <f aca="false">COLUMNS(Data!$G$2:$O$243)</f>
        <v>9</v>
      </c>
      <c r="C5" s="14" t="s">
        <v>292</v>
      </c>
    </row>
    <row r="6" customFormat="false" ht="15" hidden="false" customHeight="true" outlineLevel="0" collapsed="false">
      <c r="A6" s="12" t="s">
        <v>293</v>
      </c>
      <c r="B6" s="15" t="n">
        <f aca="false">INDEX(LINEST(Data!$F$2:$F$243,Data!$G$2:$O$243,TRUE(),TRUE()),3,1)</f>
        <v>0.449553144607253</v>
      </c>
      <c r="C6" s="14" t="s">
        <v>294</v>
      </c>
    </row>
    <row r="7" customFormat="false" ht="15" hidden="false" customHeight="true" outlineLevel="0" collapsed="false">
      <c r="A7" s="12" t="s">
        <v>295</v>
      </c>
      <c r="B7" s="16" t="n">
        <f aca="false">1-(1-B6)*(B4-1)/(B4-B5-1)</f>
        <v>0.428199602803224</v>
      </c>
      <c r="C7" s="14" t="s">
        <v>296</v>
      </c>
    </row>
    <row r="8" customFormat="false" ht="21.75" hidden="false" customHeight="true" outlineLevel="0" collapsed="false">
      <c r="A8" s="12" t="s">
        <v>297</v>
      </c>
      <c r="B8" s="17" t="n">
        <v>0.396272</v>
      </c>
      <c r="C8" s="14" t="s">
        <v>298</v>
      </c>
    </row>
    <row r="9" customFormat="false" ht="15" hidden="false" customHeight="true" outlineLevel="0" collapsed="false">
      <c r="A9" s="12" t="s">
        <v>299</v>
      </c>
      <c r="B9" s="18" t="n">
        <v>0.392847</v>
      </c>
      <c r="C9" s="14" t="s">
        <v>300</v>
      </c>
    </row>
    <row r="10" customFormat="false" ht="15" hidden="false" customHeight="true" outlineLevel="0" collapsed="false">
      <c r="A10" s="12" t="s">
        <v>301</v>
      </c>
      <c r="B10" s="19" t="n">
        <f aca="false">INDEX(LINEST(Data!$F$2:$F$243,Data!$G$2:$O$243,TRUE(),TRUE()),4,1)</f>
        <v>21.0528608665018</v>
      </c>
      <c r="C10" s="14" t="s">
        <v>294</v>
      </c>
    </row>
    <row r="11" customFormat="false" ht="15" hidden="false" customHeight="true" outlineLevel="0" collapsed="false">
      <c r="A11" s="12" t="s">
        <v>302</v>
      </c>
      <c r="B11" s="13" t="n">
        <f aca="false">INDEX(LINEST(Data!$F$2:$F$243,Data!$G$2:$O$243,TRUE(),TRUE()),4,2)</f>
        <v>232</v>
      </c>
      <c r="C11" s="14" t="s">
        <v>294</v>
      </c>
    </row>
    <row r="12" customFormat="false" ht="15" hidden="false" customHeight="true" outlineLevel="0" collapsed="false">
      <c r="A12" s="12" t="s">
        <v>303</v>
      </c>
      <c r="B12" s="20" t="n">
        <f aca="false">FDIST(B10,B5,B11)</f>
        <v>8.18192310230704E-026</v>
      </c>
      <c r="C12" s="14" t="s">
        <v>304</v>
      </c>
    </row>
    <row r="13" customFormat="false" ht="15" hidden="false" customHeight="true" outlineLevel="0" collapsed="false">
      <c r="A13" s="12" t="s">
        <v>305</v>
      </c>
      <c r="B13" s="21" t="n">
        <f aca="false">SUM(Dominance_General!C4:C12)</f>
        <v>0.449553</v>
      </c>
      <c r="C13" s="14" t="s">
        <v>306</v>
      </c>
    </row>
    <row r="14" customFormat="false" ht="15" hidden="false" customHeight="true" outlineLevel="0" collapsed="false">
      <c r="A14" s="12" t="s">
        <v>307</v>
      </c>
      <c r="B14" s="22" t="n">
        <f aca="false">B13-B6</f>
        <v>-1.44607252783313E-007</v>
      </c>
      <c r="C14" s="14" t="s">
        <v>308</v>
      </c>
    </row>
    <row r="15" customFormat="false" ht="15" hidden="false" customHeight="true" outlineLevel="0" collapsed="false">
      <c r="A15" s="12" t="s">
        <v>309</v>
      </c>
      <c r="B15" s="23" t="n">
        <f aca="false">1-B6</f>
        <v>0.550446855392747</v>
      </c>
      <c r="C15" s="14" t="s">
        <v>310</v>
      </c>
    </row>
    <row r="16" customFormat="false" ht="23.25" hidden="false" customHeight="true" outlineLevel="0" collapsed="false">
      <c r="A16" s="12" t="s">
        <v>311</v>
      </c>
      <c r="B16" s="24" t="n">
        <f aca="false">Graphic_Numbers!C9</f>
        <v>0.623970721515168</v>
      </c>
      <c r="C16" s="14" t="s">
        <v>312</v>
      </c>
    </row>
    <row r="17" customFormat="false" ht="15" hidden="false" customHeight="true" outlineLevel="0" collapsed="false">
      <c r="A17" s="3"/>
      <c r="B17" s="3"/>
      <c r="C17" s="3"/>
    </row>
    <row r="18" customFormat="false" ht="15" hidden="false" customHeight="true" outlineLevel="0" collapsed="false">
      <c r="A18" s="25" t="s">
        <v>313</v>
      </c>
      <c r="B18" s="3"/>
      <c r="C18" s="3"/>
    </row>
    <row r="19" customFormat="false" ht="31.5" hidden="false" customHeight="true" outlineLevel="0" collapsed="false">
      <c r="A19" s="26" t="s">
        <v>314</v>
      </c>
      <c r="B19" s="26"/>
      <c r="C19" s="26"/>
    </row>
  </sheetData>
  <mergeCells count="1"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8" min="8" style="1" width="9"/>
    <col collapsed="false" customWidth="true" hidden="false" outlineLevel="0" max="9" min="9" style="1" width="15"/>
  </cols>
  <sheetData>
    <row r="1" customFormat="false" ht="17.25" hidden="false" customHeight="true" outlineLevel="0" collapsed="false">
      <c r="A1" s="2" t="s">
        <v>315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23.25" hidden="false" customHeight="true" outlineLevel="0" collapsed="false">
      <c r="A3" s="6" t="s">
        <v>316</v>
      </c>
      <c r="B3" s="6" t="s">
        <v>317</v>
      </c>
      <c r="C3" s="6" t="s">
        <v>318</v>
      </c>
      <c r="D3" s="6" t="s">
        <v>319</v>
      </c>
      <c r="E3" s="6" t="s">
        <v>320</v>
      </c>
      <c r="F3" s="6" t="s">
        <v>321</v>
      </c>
      <c r="G3" s="6" t="s">
        <v>322</v>
      </c>
      <c r="H3" s="6" t="s">
        <v>323</v>
      </c>
      <c r="I3" s="6" t="s">
        <v>324</v>
      </c>
    </row>
    <row r="4" customFormat="false" ht="15" hidden="false" customHeight="true" outlineLevel="0" collapsed="false">
      <c r="A4" s="27" t="s">
        <v>29</v>
      </c>
      <c r="B4" s="28" t="s">
        <v>325</v>
      </c>
      <c r="C4" s="29" t="n">
        <f aca="false">INDEX(LINEST(Data!$F$2:$F$243,Data!$G$2:$O$243,TRUE(),TRUE()),1,9)</f>
        <v>24.9441350586235</v>
      </c>
      <c r="D4" s="29" t="n">
        <f aca="false">INDEX(LINEST(Data!$F$2:$F$243,Data!$G$2:$O$243,TRUE(),TRUE()),2,9)</f>
        <v>4.09801779848532</v>
      </c>
      <c r="E4" s="30" t="n">
        <f aca="false">C4/D4</f>
        <v>6.08687816530305</v>
      </c>
      <c r="F4" s="31" t="n">
        <f aca="false">TDIST(ABS(E4),Answers!$B$11,2)</f>
        <v>4.72363120520624E-009</v>
      </c>
      <c r="G4" s="32" t="n">
        <f aca="false">C4*STDEV(Data!$G$2:$G$243)/STDEV(Data!$F$2:$F$243)</f>
        <v>0.397175717280272</v>
      </c>
      <c r="H4" s="33" t="n">
        <v>1.79</v>
      </c>
      <c r="I4" s="28" t="str">
        <f aca="false">IF(H4&gt;10,"unstable (collinear)",IF(F4&lt;0.001,IF(C4&gt;0,"positive","negative"),"weak / unclear"))</f>
        <v>positive</v>
      </c>
    </row>
    <row r="5" customFormat="false" ht="15" hidden="false" customHeight="true" outlineLevel="0" collapsed="false">
      <c r="A5" s="27" t="s">
        <v>30</v>
      </c>
      <c r="B5" s="28" t="s">
        <v>326</v>
      </c>
      <c r="C5" s="29" t="n">
        <f aca="false">INDEX(LINEST(Data!$F$2:$F$243,Data!$G$2:$O$243,TRUE(),TRUE()),1,8)</f>
        <v>3.58181970037569</v>
      </c>
      <c r="D5" s="29" t="n">
        <f aca="false">INDEX(LINEST(Data!$F$2:$F$243,Data!$G$2:$O$243,TRUE(),TRUE()),2,8)</f>
        <v>1.02335493663806</v>
      </c>
      <c r="E5" s="30" t="n">
        <f aca="false">C5/D5</f>
        <v>3.50007565521963</v>
      </c>
      <c r="F5" s="31" t="n">
        <f aca="false">TDIST(ABS(E5),Answers!$B$11,2)</f>
        <v>0.000557598994499228</v>
      </c>
      <c r="G5" s="32" t="n">
        <f aca="false">C5*STDEV(Data!$H$2:$H$243)/STDEV(Data!$F$2:$F$243)</f>
        <v>0.284933795731408</v>
      </c>
      <c r="H5" s="33" t="n">
        <v>2.79</v>
      </c>
      <c r="I5" s="28" t="str">
        <f aca="false">IF(H5&gt;10,"unstable (collinear)",IF(F5&lt;0.001,IF(C5&gt;0,"positive","negative"),"weak / unclear"))</f>
        <v>positive</v>
      </c>
    </row>
    <row r="6" customFormat="false" ht="15" hidden="false" customHeight="true" outlineLevel="0" collapsed="false">
      <c r="A6" s="27" t="s">
        <v>31</v>
      </c>
      <c r="B6" s="28" t="s">
        <v>327</v>
      </c>
      <c r="C6" s="29" t="n">
        <f aca="false">INDEX(LINEST(Data!$F$2:$F$243,Data!$G$2:$O$243,TRUE(),TRUE()),1,7)</f>
        <v>1.72487651044448</v>
      </c>
      <c r="D6" s="29" t="n">
        <f aca="false">INDEX(LINEST(Data!$F$2:$F$243,Data!$G$2:$O$243,TRUE(),TRUE()),2,7)</f>
        <v>1.72516841909196</v>
      </c>
      <c r="E6" s="30" t="n">
        <f aca="false">C6/D6</f>
        <v>0.999830794115951</v>
      </c>
      <c r="F6" s="31" t="n">
        <f aca="false">TDIST(ABS(E6),Answers!$B$11,2)</f>
        <v>0.318434076911539</v>
      </c>
      <c r="G6" s="32" t="n">
        <f aca="false">C6*STDEV(Data!$I$2:$I$243)/STDEV(Data!$F$2:$F$243)</f>
        <v>0.0759400272500842</v>
      </c>
      <c r="H6" s="33" t="n">
        <v>2.43</v>
      </c>
      <c r="I6" s="28" t="str">
        <f aca="false">IF(H6&gt;10,"unstable (collinear)",IF(F6&lt;0.001,IF(C6&gt;0,"positive","negative"),"weak / unclear"))</f>
        <v>weak / unclear</v>
      </c>
    </row>
    <row r="7" customFormat="false" ht="15" hidden="false" customHeight="true" outlineLevel="0" collapsed="false">
      <c r="A7" s="27" t="s">
        <v>32</v>
      </c>
      <c r="B7" s="28" t="s">
        <v>328</v>
      </c>
      <c r="C7" s="29" t="n">
        <f aca="false">INDEX(LINEST(Data!$F$2:$F$243,Data!$G$2:$O$243,TRUE(),TRUE()),1,6)</f>
        <v>0.174965410890137</v>
      </c>
      <c r="D7" s="29" t="n">
        <f aca="false">INDEX(LINEST(Data!$F$2:$F$243,Data!$G$2:$O$243,TRUE(),TRUE()),2,6)</f>
        <v>0.0438223886631195</v>
      </c>
      <c r="E7" s="30" t="n">
        <f aca="false">C7/D7</f>
        <v>3.992603238385</v>
      </c>
      <c r="F7" s="31" t="n">
        <f aca="false">TDIST(ABS(E7),Answers!$B$11,2)</f>
        <v>8.77242551126791E-005</v>
      </c>
      <c r="G7" s="32" t="n">
        <f aca="false">C7*STDEV(Data!$J$2:$J$243)/STDEV(Data!$F$2:$F$243)</f>
        <v>0.320015743205881</v>
      </c>
      <c r="H7" s="33" t="n">
        <v>2.71</v>
      </c>
      <c r="I7" s="28" t="str">
        <f aca="false">IF(H7&gt;10,"unstable (collinear)",IF(F7&lt;0.001,IF(C7&gt;0,"positive","negative"),"weak / unclear"))</f>
        <v>positive</v>
      </c>
    </row>
    <row r="8" customFormat="false" ht="15" hidden="false" customHeight="true" outlineLevel="0" collapsed="false">
      <c r="A8" s="27" t="s">
        <v>33</v>
      </c>
      <c r="B8" s="28" t="s">
        <v>329</v>
      </c>
      <c r="C8" s="29" t="n">
        <f aca="false">INDEX(LINEST(Data!$F$2:$F$243,Data!$G$2:$O$243,TRUE(),TRUE()),1,5)</f>
        <v>0.151305540255785</v>
      </c>
      <c r="D8" s="29" t="n">
        <f aca="false">INDEX(LINEST(Data!$F$2:$F$243,Data!$G$2:$O$243,TRUE(),TRUE()),2,5)</f>
        <v>0.0268201640854723</v>
      </c>
      <c r="E8" s="30" t="n">
        <f aca="false">C8/D8</f>
        <v>5.641484510445</v>
      </c>
      <c r="F8" s="31" t="n">
        <f aca="false">TDIST(ABS(E8),Answers!$B$11,2)</f>
        <v>4.88738255401508E-008</v>
      </c>
      <c r="G8" s="32" t="n">
        <f aca="false">C8*STDEV(Data!$K$2:$K$243)/STDEV(Data!$F$2:$F$243)</f>
        <v>0.519631271873581</v>
      </c>
      <c r="H8" s="33" t="n">
        <v>3.58</v>
      </c>
      <c r="I8" s="28" t="str">
        <f aca="false">IF(H8&gt;10,"unstable (collinear)",IF(F8&lt;0.001,IF(C8&gt;0,"positive","negative"),"weak / unclear"))</f>
        <v>positive</v>
      </c>
    </row>
    <row r="9" customFormat="false" ht="15" hidden="false" customHeight="true" outlineLevel="0" collapsed="false">
      <c r="A9" s="27" t="s">
        <v>34</v>
      </c>
      <c r="B9" s="28" t="s">
        <v>330</v>
      </c>
      <c r="C9" s="29" t="n">
        <f aca="false">INDEX(LINEST(Data!$F$2:$F$243,Data!$G$2:$O$243,TRUE(),TRUE()),1,4)</f>
        <v>1.82034292692688</v>
      </c>
      <c r="D9" s="29" t="n">
        <f aca="false">INDEX(LINEST(Data!$F$2:$F$243,Data!$G$2:$O$243,TRUE(),TRUE()),2,4)</f>
        <v>0.277528053080275</v>
      </c>
      <c r="E9" s="30" t="n">
        <f aca="false">C9/D9</f>
        <v>6.55913125438293</v>
      </c>
      <c r="F9" s="31" t="n">
        <f aca="false">TDIST(ABS(E9),Answers!$B$11,2)</f>
        <v>3.48352850507001E-010</v>
      </c>
      <c r="G9" s="32" t="n">
        <f aca="false">C9*STDEV(Data!$L$2:$L$243)/STDEV(Data!$F$2:$F$243)</f>
        <v>0.366758549413599</v>
      </c>
      <c r="H9" s="33" t="n">
        <v>1.32</v>
      </c>
      <c r="I9" s="28" t="str">
        <f aca="false">IF(H9&gt;10,"unstable (collinear)",IF(F9&lt;0.001,IF(C9&gt;0,"positive","negative"),"weak / unclear"))</f>
        <v>positive</v>
      </c>
    </row>
    <row r="10" customFormat="false" ht="15" hidden="false" customHeight="true" outlineLevel="0" collapsed="false">
      <c r="A10" s="27" t="s">
        <v>35</v>
      </c>
      <c r="B10" s="28" t="s">
        <v>331</v>
      </c>
      <c r="C10" s="29" t="n">
        <f aca="false">INDEX(LINEST(Data!$F$2:$F$243,Data!$G$2:$O$243,TRUE(),TRUE()),1,3)</f>
        <v>0.112809796200824</v>
      </c>
      <c r="D10" s="29" t="n">
        <f aca="false">INDEX(LINEST(Data!$F$2:$F$243,Data!$G$2:$O$243,TRUE(),TRUE()),2,3)</f>
        <v>0.12237974392536</v>
      </c>
      <c r="E10" s="30" t="n">
        <f aca="false">C10/D10</f>
        <v>0.921801211396775</v>
      </c>
      <c r="F10" s="31" t="n">
        <f aca="false">TDIST(ABS(E10),Answers!$B$11,2)</f>
        <v>0.357589864391702</v>
      </c>
      <c r="G10" s="32" t="n">
        <f aca="false">C10*STDEV(Data!$M$2:$M$243)/STDEV(Data!$F$2:$F$243)</f>
        <v>0.066286654005326</v>
      </c>
      <c r="H10" s="33" t="n">
        <v>2.18</v>
      </c>
      <c r="I10" s="28" t="str">
        <f aca="false">IF(H10&gt;10,"unstable (collinear)",IF(F10&lt;0.001,IF(C10&gt;0,"positive","negative"),"weak / unclear"))</f>
        <v>weak / unclear</v>
      </c>
    </row>
    <row r="11" customFormat="false" ht="15" hidden="false" customHeight="true" outlineLevel="0" collapsed="false">
      <c r="A11" s="27" t="s">
        <v>36</v>
      </c>
      <c r="B11" s="28" t="s">
        <v>332</v>
      </c>
      <c r="C11" s="29" t="n">
        <f aca="false">INDEX(LINEST(Data!$F$2:$F$243,Data!$G$2:$O$243,TRUE(),TRUE()),1,2)</f>
        <v>-0.2923872772203</v>
      </c>
      <c r="D11" s="29" t="n">
        <f aca="false">INDEX(LINEST(Data!$F$2:$F$243,Data!$G$2:$O$243,TRUE(),TRUE()),2,2)</f>
        <v>0.0589176092256206</v>
      </c>
      <c r="E11" s="30" t="n">
        <f aca="false">C11/D11</f>
        <v>-4.96264666987122</v>
      </c>
      <c r="F11" s="31" t="n">
        <f aca="false">TDIST(ABS(E11),Answers!$B$11,2)</f>
        <v>1.34592564791236E-006</v>
      </c>
      <c r="G11" s="32" t="n">
        <f aca="false">C11*STDEV(Data!$N$2:$N$243)/STDEV(Data!$F$2:$F$243)</f>
        <v>-0.346595643539769</v>
      </c>
      <c r="H11" s="33" t="n">
        <v>2.06</v>
      </c>
      <c r="I11" s="28" t="str">
        <f aca="false">IF(H11&gt;10,"unstable (collinear)",IF(F11&lt;0.001,IF(C11&gt;0,"positive","negative"),"weak / unclear"))</f>
        <v>negative</v>
      </c>
    </row>
    <row r="12" customFormat="false" ht="15" hidden="false" customHeight="true" outlineLevel="0" collapsed="false">
      <c r="A12" s="27" t="s">
        <v>37</v>
      </c>
      <c r="B12" s="28" t="s">
        <v>333</v>
      </c>
      <c r="C12" s="29" t="n">
        <f aca="false">INDEX(LINEST(Data!$F$2:$F$243,Data!$G$2:$O$243,TRUE(),TRUE()),1,1)</f>
        <v>0.0542355455673358</v>
      </c>
      <c r="D12" s="29" t="n">
        <f aca="false">INDEX(LINEST(Data!$F$2:$F$243,Data!$G$2:$O$243,TRUE(),TRUE()),2,1)</f>
        <v>0.0365123495622807</v>
      </c>
      <c r="E12" s="30" t="n">
        <f aca="false">C12/D12</f>
        <v>1.48540278063519</v>
      </c>
      <c r="F12" s="31" t="n">
        <f aca="false">TDIST(ABS(E12),Answers!$B$11,2)</f>
        <v>0.138794693413645</v>
      </c>
      <c r="G12" s="32" t="n">
        <f aca="false">C12*STDEV(Data!$O$2:$O$243)/STDEV(Data!$F$2:$F$243)</f>
        <v>0.121483535255431</v>
      </c>
      <c r="H12" s="33" t="n">
        <v>2.82</v>
      </c>
      <c r="I12" s="28" t="str">
        <f aca="false">IF(H12&gt;10,"unstable (collinear)",IF(F12&lt;0.001,IF(C12&gt;0,"positive","negative"),"weak / unclear"))</f>
        <v>weak / unclear</v>
      </c>
    </row>
    <row r="13" customFormat="false" ht="15" hidden="false" customHeight="true" outlineLevel="0" collapsed="false">
      <c r="A13" s="25" t="s">
        <v>334</v>
      </c>
      <c r="B13" s="3"/>
      <c r="C13" s="34" t="n">
        <f aca="false">INDEX(LINEST(Data!$F$2:$F$243,Data!$G$2:$O$243,TRUE(),TRUE()),1,10)</f>
        <v>-21.1137958423605</v>
      </c>
      <c r="D13" s="34" t="n">
        <f aca="false">INDEX(LINEST(Data!$F$2:$F$243,Data!$G$2:$O$243,TRUE(),TRUE()),2,10)</f>
        <v>2.8596976736162</v>
      </c>
      <c r="E13" s="3"/>
      <c r="F13" s="3"/>
      <c r="G13" s="3"/>
      <c r="H13" s="3"/>
      <c r="I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true" outlineLevel="0" collapsed="false">
      <c r="A15" s="25" t="s">
        <v>335</v>
      </c>
      <c r="B15" s="3"/>
      <c r="C15" s="3"/>
      <c r="D15" s="3"/>
      <c r="E15" s="3"/>
      <c r="F15" s="3"/>
      <c r="G15" s="3"/>
      <c r="H15" s="3"/>
      <c r="I15" s="3"/>
    </row>
    <row r="16" customFormat="false" ht="27.75" hidden="false" customHeight="true" outlineLevel="0" collapsed="false">
      <c r="A16" s="35" t="s">
        <v>336</v>
      </c>
      <c r="B16" s="35"/>
      <c r="C16" s="35"/>
      <c r="D16" s="35"/>
      <c r="E16" s="35"/>
      <c r="F16" s="35"/>
      <c r="G16" s="35"/>
      <c r="H16" s="35"/>
      <c r="I16" s="35"/>
    </row>
    <row r="17" customFormat="false" ht="27.75" hidden="false" customHeight="true" outlineLevel="0" collapsed="false">
      <c r="A17" s="35" t="s">
        <v>337</v>
      </c>
      <c r="B17" s="35"/>
      <c r="C17" s="35"/>
      <c r="D17" s="35"/>
      <c r="E17" s="35"/>
      <c r="F17" s="35"/>
      <c r="G17" s="35"/>
      <c r="H17" s="35"/>
      <c r="I17" s="35"/>
    </row>
    <row r="18" customFormat="false" ht="27.75" hidden="false" customHeight="true" outlineLevel="0" collapsed="false">
      <c r="A18" s="35" t="s">
        <v>338</v>
      </c>
      <c r="B18" s="35"/>
      <c r="C18" s="35"/>
      <c r="D18" s="35"/>
      <c r="E18" s="35"/>
      <c r="F18" s="35"/>
      <c r="G18" s="35"/>
      <c r="H18" s="35"/>
      <c r="I18" s="35"/>
    </row>
    <row r="19" customFormat="false" ht="27.75" hidden="false" customHeight="true" outlineLevel="0" collapsed="false">
      <c r="A19" s="35" t="s">
        <v>339</v>
      </c>
      <c r="B19" s="35"/>
      <c r="C19" s="35"/>
      <c r="D19" s="35"/>
      <c r="E19" s="35"/>
      <c r="F19" s="35"/>
      <c r="G19" s="35"/>
      <c r="H19" s="35"/>
      <c r="I19" s="35"/>
    </row>
  </sheetData>
  <mergeCells count="4">
    <mergeCell ref="A16:I16"/>
    <mergeCell ref="A17:I17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40"/>
    <col collapsed="false" customWidth="true" hidden="false" outlineLevel="0" max="5" min="5" style="1" width="10"/>
    <col collapsed="false" customWidth="true" hidden="false" outlineLevel="0" max="6" min="6" style="1" width="13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2" t="s">
        <v>340</v>
      </c>
    </row>
    <row r="2" customFormat="false" ht="15" hidden="false" customHeight="true" outlineLevel="0" collapsed="false">
      <c r="A2" s="36" t="s">
        <v>341</v>
      </c>
    </row>
    <row r="4" customFormat="false" ht="15" hidden="false" customHeight="true" outlineLevel="0" collapsed="false">
      <c r="A4" s="37" t="s">
        <v>286</v>
      </c>
      <c r="B4" s="37" t="s">
        <v>287</v>
      </c>
      <c r="C4" s="37" t="s">
        <v>24</v>
      </c>
      <c r="D4" s="37" t="s">
        <v>342</v>
      </c>
    </row>
    <row r="5" customFormat="false" ht="15" hidden="false" customHeight="true" outlineLevel="0" collapsed="false">
      <c r="A5" s="27" t="s">
        <v>343</v>
      </c>
      <c r="B5" s="38" t="n">
        <f aca="false">COUNT(Data!$F$2:$F$243)</f>
        <v>242</v>
      </c>
      <c r="C5" s="39"/>
      <c r="D5" s="40" t="s">
        <v>344</v>
      </c>
    </row>
    <row r="6" customFormat="false" ht="15" hidden="false" customHeight="true" outlineLevel="0" collapsed="false">
      <c r="A6" s="27" t="s">
        <v>345</v>
      </c>
      <c r="B6" s="29" t="n">
        <f aca="false">MIN(Data!$F$2:$F$243)</f>
        <v>-6.068</v>
      </c>
      <c r="C6" s="28" t="str">
        <f aca="false">INDEX(Data!$B$2:$B$243,MATCH(B6,Data!$F$2:$F$243,0))</f>
        <v>Nick Richards</v>
      </c>
      <c r="D6" s="40" t="s">
        <v>346</v>
      </c>
    </row>
    <row r="7" customFormat="false" ht="15" hidden="false" customHeight="true" outlineLevel="0" collapsed="false">
      <c r="A7" s="41" t="s">
        <v>347</v>
      </c>
      <c r="B7" s="42" t="n">
        <f aca="false">_xlfn.QUARTILE.INC(Data!$F$2:$F$243,1)</f>
        <v>-1.3025</v>
      </c>
      <c r="C7" s="39"/>
      <c r="D7" s="40" t="s">
        <v>348</v>
      </c>
    </row>
    <row r="8" customFormat="false" ht="15" hidden="false" customHeight="true" outlineLevel="0" collapsed="false">
      <c r="A8" s="41" t="s">
        <v>349</v>
      </c>
      <c r="B8" s="42" t="n">
        <f aca="false">MEDIAN(Data!$F$2:$F$243)</f>
        <v>0.2295</v>
      </c>
      <c r="C8" s="39"/>
      <c r="D8" s="40" t="s">
        <v>350</v>
      </c>
    </row>
    <row r="9" customFormat="false" ht="15" hidden="false" customHeight="true" outlineLevel="0" collapsed="false">
      <c r="A9" s="41" t="s">
        <v>351</v>
      </c>
      <c r="B9" s="42" t="n">
        <f aca="false">_xlfn.QUARTILE.INC(Data!$F$2:$F$243,3)</f>
        <v>2.075</v>
      </c>
      <c r="C9" s="39"/>
      <c r="D9" s="40" t="s">
        <v>352</v>
      </c>
    </row>
    <row r="10" customFormat="false" ht="15" hidden="false" customHeight="true" outlineLevel="0" collapsed="false">
      <c r="A10" s="27" t="s">
        <v>353</v>
      </c>
      <c r="B10" s="29" t="n">
        <f aca="false">MAX(Data!$F$2:$F$243)</f>
        <v>10.312</v>
      </c>
      <c r="C10" s="28" t="str">
        <f aca="false">INDEX(Data!$B$2:$B$243,MATCH(B10,Data!$F$2:$F$243,0))</f>
        <v>Nikola Jokić</v>
      </c>
      <c r="D10" s="40" t="s">
        <v>354</v>
      </c>
    </row>
    <row r="11" customFormat="false" ht="15" hidden="false" customHeight="true" outlineLevel="0" collapsed="false">
      <c r="A11" s="27" t="s">
        <v>355</v>
      </c>
      <c r="B11" s="29" t="n">
        <f aca="false">AVERAGE(Data!$F$2:$F$243)</f>
        <v>0.349078512396694</v>
      </c>
      <c r="C11" s="39"/>
      <c r="D11" s="40" t="s">
        <v>356</v>
      </c>
    </row>
    <row r="12" customFormat="false" ht="15" hidden="false" customHeight="true" outlineLevel="0" collapsed="false">
      <c r="A12" s="27" t="s">
        <v>357</v>
      </c>
      <c r="B12" s="29" t="n">
        <f aca="false">B9-B7</f>
        <v>3.3775</v>
      </c>
      <c r="C12" s="39"/>
      <c r="D12" s="40" t="s">
        <v>358</v>
      </c>
    </row>
    <row r="13" customFormat="false" ht="15" hidden="false" customHeight="true" outlineLevel="0" collapsed="false">
      <c r="A13" s="27" t="s">
        <v>359</v>
      </c>
      <c r="B13" s="29" t="n">
        <f aca="false">B7-1.5*B12</f>
        <v>-6.36875</v>
      </c>
      <c r="C13" s="39"/>
      <c r="D13" s="40" t="s">
        <v>360</v>
      </c>
    </row>
    <row r="14" customFormat="false" ht="15" hidden="false" customHeight="true" outlineLevel="0" collapsed="false">
      <c r="A14" s="27" t="s">
        <v>361</v>
      </c>
      <c r="B14" s="29" t="n">
        <f aca="false">B9+1.5*B12</f>
        <v>7.14125</v>
      </c>
      <c r="C14" s="39"/>
      <c r="D14" s="40" t="s">
        <v>362</v>
      </c>
    </row>
    <row r="15" customFormat="false" ht="15" hidden="false" customHeight="true" outlineLevel="0" collapsed="false">
      <c r="A15" s="27" t="s">
        <v>363</v>
      </c>
      <c r="B15" s="29" t="n">
        <f aca="false">_xlfn.MINIFS(Data!$F$2:$F$243,Data!$F$2:$F$243,"&gt;="&amp;B13)</f>
        <v>-6.068</v>
      </c>
      <c r="C15" s="28" t="str">
        <f aca="false">INDEX(Data!$B$2:$B$243,MATCH(B15,Data!$F$2:$F$243,0))</f>
        <v>Nick Richards</v>
      </c>
      <c r="D15" s="40" t="s">
        <v>364</v>
      </c>
    </row>
    <row r="16" customFormat="false" ht="15" hidden="false" customHeight="true" outlineLevel="0" collapsed="false">
      <c r="A16" s="27" t="s">
        <v>365</v>
      </c>
      <c r="B16" s="29" t="n">
        <f aca="false">_xlfn.MAXIFS(Data!$F$2:$F$243,Data!$F$2:$F$243,"&lt;="&amp;B14)</f>
        <v>6.192</v>
      </c>
      <c r="C16" s="28" t="str">
        <f aca="false">INDEX(Data!$B$2:$B$243,MATCH(B16,Data!$F$2:$F$243,0))</f>
        <v>Stephen Curry</v>
      </c>
      <c r="D16" s="40" t="s">
        <v>366</v>
      </c>
    </row>
    <row r="17" customFormat="false" ht="15" hidden="false" customHeight="true" outlineLevel="0" collapsed="false">
      <c r="A17" s="27" t="s">
        <v>367</v>
      </c>
      <c r="B17" s="38" t="n">
        <f aca="false">COUNTIF(Data!$F$2:$F$243,"&lt;"&amp;B13)</f>
        <v>0</v>
      </c>
      <c r="C17" s="39"/>
      <c r="D17" s="40" t="s">
        <v>368</v>
      </c>
    </row>
    <row r="18" customFormat="false" ht="15" hidden="false" customHeight="true" outlineLevel="0" collapsed="false">
      <c r="A18" s="27" t="s">
        <v>369</v>
      </c>
      <c r="B18" s="38" t="n">
        <f aca="false">COUNTIF(Data!$F$2:$F$243,"&gt;"&amp;B14)</f>
        <v>3</v>
      </c>
      <c r="C18" s="39"/>
      <c r="D18" s="40" t="s">
        <v>368</v>
      </c>
    </row>
    <row r="21" customFormat="false" ht="15" hidden="false" customHeight="true" outlineLevel="0" collapsed="false">
      <c r="A21" s="25" t="s">
        <v>370</v>
      </c>
    </row>
    <row r="22" customFormat="false" ht="15" hidden="false" customHeight="true" outlineLevel="0" collapsed="false">
      <c r="A22" s="37" t="s">
        <v>371</v>
      </c>
      <c r="B22" s="37" t="s">
        <v>372</v>
      </c>
      <c r="C22" s="37" t="s">
        <v>24</v>
      </c>
      <c r="D22" s="37"/>
    </row>
    <row r="23" customFormat="false" ht="15" hidden="false" customHeight="true" outlineLevel="0" collapsed="false">
      <c r="A23" s="7" t="n">
        <v>1</v>
      </c>
      <c r="B23" s="43" t="n">
        <f aca="false">IF(1&lt;=$B$18,LARGE(Data!$F$2:$F$243,1),"")</f>
        <v>10.312</v>
      </c>
      <c r="C23" s="7" t="str">
        <f aca="false">IF(B23="","",INDEX(Data!$B$2:$B$243,MATCH(B23,Data!$F$2:$F$243,0)))</f>
        <v>Nikola Jokić</v>
      </c>
    </row>
    <row r="24" customFormat="false" ht="15" hidden="false" customHeight="true" outlineLevel="0" collapsed="false">
      <c r="A24" s="7" t="n">
        <v>2</v>
      </c>
      <c r="B24" s="43" t="n">
        <f aca="false">IF(2&lt;=$B$18,LARGE(Data!$F$2:$F$243,2),"")</f>
        <v>8.395</v>
      </c>
      <c r="C24" s="7" t="str">
        <f aca="false">IF(B24="","",INDEX(Data!$B$2:$B$243,MATCH(B24,Data!$F$2:$F$243,0)))</f>
        <v>Shai Gilgeous-Alexander</v>
      </c>
    </row>
    <row r="25" customFormat="false" ht="15" hidden="false" customHeight="true" outlineLevel="0" collapsed="false">
      <c r="A25" s="7" t="n">
        <v>3</v>
      </c>
      <c r="B25" s="43" t="n">
        <f aca="false">IF(3&lt;=$B$18,LARGE(Data!$F$2:$F$243,3),"")</f>
        <v>7.541</v>
      </c>
      <c r="C25" s="7" t="str">
        <f aca="false">IF(B25="","",INDEX(Data!$B$2:$B$243,MATCH(B25,Data!$F$2:$F$243,0)))</f>
        <v>Giannis Antetokounmpo</v>
      </c>
    </row>
    <row r="28" customFormat="false" ht="15" hidden="false" customHeight="true" outlineLevel="0" collapsed="false">
      <c r="A28" s="25" t="s">
        <v>373</v>
      </c>
    </row>
    <row r="29" customFormat="false" ht="15" hidden="false" customHeight="true" outlineLevel="0" collapsed="false">
      <c r="A29" s="36" t="s">
        <v>374</v>
      </c>
    </row>
    <row r="30" customFormat="false" ht="15" hidden="false" customHeight="true" outlineLevel="0" collapsed="false">
      <c r="A30" s="37" t="s">
        <v>375</v>
      </c>
      <c r="B30" s="37" t="s">
        <v>376</v>
      </c>
      <c r="C30" s="37" t="s">
        <v>377</v>
      </c>
      <c r="D30" s="37" t="s">
        <v>378</v>
      </c>
      <c r="E30" s="37" t="s">
        <v>379</v>
      </c>
      <c r="F30" s="37" t="s">
        <v>380</v>
      </c>
      <c r="G30" s="37" t="s">
        <v>381</v>
      </c>
    </row>
    <row r="31" customFormat="false" ht="15" hidden="false" customHeight="true" outlineLevel="0" collapsed="false">
      <c r="A31" s="27" t="s">
        <v>382</v>
      </c>
      <c r="B31" s="30" t="n">
        <f aca="false">1+($B$5-1)*0.25</f>
        <v>61.25</v>
      </c>
      <c r="C31" s="32" t="n">
        <f aca="false">SMALL(Data!$F$2:$F$243,INT(B31))</f>
        <v>-1.306</v>
      </c>
      <c r="D31" s="32" t="n">
        <f aca="false">SMALL(Data!$F$2:$F$243,INT(B31)+1)</f>
        <v>-1.292</v>
      </c>
      <c r="E31" s="30" t="n">
        <f aca="false">B31-INT(B31)</f>
        <v>0.25</v>
      </c>
      <c r="F31" s="29" t="n">
        <f aca="false">C31+E31*(D31-C31)</f>
        <v>-1.3025</v>
      </c>
      <c r="G31" s="28" t="str">
        <f aca="false">IF(ABS(F31-B7)&lt;0.0000001,"Yes","NO")</f>
        <v>Yes</v>
      </c>
    </row>
    <row r="32" customFormat="false" ht="15" hidden="false" customHeight="true" outlineLevel="0" collapsed="false">
      <c r="A32" s="27" t="s">
        <v>383</v>
      </c>
      <c r="B32" s="30" t="n">
        <f aca="false">1+($B$5-1)*0.5</f>
        <v>121.5</v>
      </c>
      <c r="C32" s="32" t="n">
        <f aca="false">SMALL(Data!$F$2:$F$243,INT(B32))</f>
        <v>0.211</v>
      </c>
      <c r="D32" s="32" t="n">
        <f aca="false">SMALL(Data!$F$2:$F$243,INT(B32)+1)</f>
        <v>0.248</v>
      </c>
      <c r="E32" s="30" t="n">
        <f aca="false">B32-INT(B32)</f>
        <v>0.5</v>
      </c>
      <c r="F32" s="29" t="n">
        <f aca="false">C32+E32*(D32-C32)</f>
        <v>0.2295</v>
      </c>
      <c r="G32" s="28" t="str">
        <f aca="false">IF(ABS(F32-B8)&lt;0.0000001,"Yes","NO")</f>
        <v>Yes</v>
      </c>
    </row>
    <row r="33" customFormat="false" ht="15" hidden="false" customHeight="true" outlineLevel="0" collapsed="false">
      <c r="A33" s="27" t="s">
        <v>384</v>
      </c>
      <c r="B33" s="30" t="n">
        <f aca="false">1+($B$5-1)*0.75</f>
        <v>181.75</v>
      </c>
      <c r="C33" s="32" t="n">
        <f aca="false">SMALL(Data!$F$2:$F$243,INT(B33))</f>
        <v>2.072</v>
      </c>
      <c r="D33" s="32" t="n">
        <f aca="false">SMALL(Data!$F$2:$F$243,INT(B33)+1)</f>
        <v>2.076</v>
      </c>
      <c r="E33" s="30" t="n">
        <f aca="false">B33-INT(B33)</f>
        <v>0.75</v>
      </c>
      <c r="F33" s="29" t="n">
        <f aca="false">C33+E33*(D33-C33)</f>
        <v>2.075</v>
      </c>
      <c r="G33" s="28" t="str">
        <f aca="false">IF(ABS(F33-B9)&lt;0.0000001,"Yes","NO")</f>
        <v>Yes</v>
      </c>
    </row>
    <row r="35" customFormat="false" ht="15" hidden="false" customHeight="true" outlineLevel="0" collapsed="false">
      <c r="A35" s="36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16" min="2" style="1" width="8.5"/>
  </cols>
  <sheetData>
    <row r="1" customFormat="false" ht="17.25" hidden="false" customHeight="true" outlineLevel="0" collapsed="false">
      <c r="A1" s="2" t="s">
        <v>386</v>
      </c>
    </row>
    <row r="2" customFormat="false" ht="15" hidden="false" customHeight="true" outlineLevel="0" collapsed="false">
      <c r="A2" s="36" t="s">
        <v>387</v>
      </c>
    </row>
    <row r="4" customFormat="false" ht="30" hidden="false" customHeight="true" outlineLevel="0" collapsed="false">
      <c r="B4" s="6" t="s">
        <v>388</v>
      </c>
      <c r="C4" s="6" t="s">
        <v>389</v>
      </c>
      <c r="D4" s="6" t="s">
        <v>390</v>
      </c>
      <c r="E4" s="6" t="s">
        <v>391</v>
      </c>
      <c r="F4" s="6" t="s">
        <v>29</v>
      </c>
      <c r="G4" s="6" t="s">
        <v>30</v>
      </c>
      <c r="H4" s="6" t="s">
        <v>31</v>
      </c>
      <c r="I4" s="6" t="s">
        <v>392</v>
      </c>
      <c r="J4" s="6" t="s">
        <v>393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</row>
    <row r="5" customFormat="false" ht="15" hidden="false" customHeight="true" outlineLevel="0" collapsed="false">
      <c r="A5" s="44" t="s">
        <v>388</v>
      </c>
      <c r="B5" s="45" t="n">
        <f aca="false">CORREL(Data!$F$2:$F$243,Data!$F$2:$F$243)</f>
        <v>1</v>
      </c>
      <c r="C5" s="45" t="n">
        <f aca="false">CORREL(Data!$F$2:$F$243,Data!$S$2:$S$243)</f>
        <v>0.801705478161187</v>
      </c>
      <c r="D5" s="45" t="n">
        <f aca="false">CORREL(Data!$F$2:$F$243,Data!$T$2:$T$243)</f>
        <v>0.626793996194218</v>
      </c>
      <c r="E5" s="45" t="n">
        <f aca="false">CORREL(Data!$F$2:$F$243,Data!$P$2:$P$243)</f>
        <v>0.39147187577919</v>
      </c>
      <c r="F5" s="45" t="n">
        <f aca="false">CORREL(Data!$F$2:$F$243,Data!$G$2:$G$243)</f>
        <v>0.225896555472934</v>
      </c>
      <c r="G5" s="45" t="n">
        <f aca="false">CORREL(Data!$F$2:$F$243,Data!$H$2:$H$243)</f>
        <v>-0.0792490095159986</v>
      </c>
      <c r="H5" s="45" t="n">
        <f aca="false">CORREL(Data!$F$2:$F$243,Data!$I$2:$I$243)</f>
        <v>0.195171952532142</v>
      </c>
      <c r="I5" s="45" t="n">
        <f aca="false">CORREL(Data!$F$2:$F$243,Data!$Q$2:$Q$243)</f>
        <v>0.0504627592913237</v>
      </c>
      <c r="J5" s="45" t="n">
        <f aca="false">CORREL(Data!$F$2:$F$243,Data!$R$2:$R$243)</f>
        <v>0.163657696102374</v>
      </c>
      <c r="K5" s="45" t="n">
        <f aca="false">CORREL(Data!$F$2:$F$243,Data!$J$2:$J$243)</f>
        <v>0.134020190041191</v>
      </c>
      <c r="L5" s="45" t="n">
        <f aca="false">CORREL(Data!$F$2:$F$243,Data!$K$2:$K$243)</f>
        <v>0.350914658621757</v>
      </c>
      <c r="M5" s="45" t="n">
        <f aca="false">CORREL(Data!$F$2:$F$243,Data!$L$2:$L$243)</f>
        <v>0.237113357392277</v>
      </c>
      <c r="N5" s="45" t="n">
        <f aca="false">CORREL(Data!$F$2:$F$243,Data!$M$2:$M$243)</f>
        <v>0.0404085485337133</v>
      </c>
      <c r="O5" s="45" t="n">
        <f aca="false">CORREL(Data!$F$2:$F$243,Data!$N$2:$N$243)</f>
        <v>-0.0375662669488098</v>
      </c>
      <c r="P5" s="45" t="n">
        <f aca="false">CORREL(Data!$F$2:$F$243,Data!$O$2:$O$243)</f>
        <v>0.326751042609658</v>
      </c>
    </row>
    <row r="6" customFormat="false" ht="15" hidden="false" customHeight="true" outlineLevel="0" collapsed="false">
      <c r="A6" s="44" t="s">
        <v>389</v>
      </c>
      <c r="B6" s="45" t="n">
        <f aca="false">CORREL(Data!$S$2:$S$243,Data!$F$2:$F$243)</f>
        <v>0.801705478161187</v>
      </c>
      <c r="C6" s="45" t="n">
        <f aca="false">CORREL(Data!$S$2:$S$243,Data!$S$2:$S$243)</f>
        <v>1</v>
      </c>
      <c r="D6" s="45" t="n">
        <f aca="false">CORREL(Data!$S$2:$S$243,Data!$T$2:$T$243)</f>
        <v>0.0367703194632909</v>
      </c>
      <c r="E6" s="45" t="n">
        <f aca="false">CORREL(Data!$S$2:$S$243,Data!$P$2:$P$243)</f>
        <v>0.466423841267737</v>
      </c>
      <c r="F6" s="45" t="n">
        <f aca="false">CORREL(Data!$S$2:$S$243,Data!$G$2:$G$243)</f>
        <v>0.200888612166673</v>
      </c>
      <c r="G6" s="45" t="n">
        <f aca="false">CORREL(Data!$S$2:$S$243,Data!$H$2:$H$243)</f>
        <v>0.0360970113260753</v>
      </c>
      <c r="H6" s="45" t="n">
        <f aca="false">CORREL(Data!$S$2:$S$243,Data!$I$2:$I$243)</f>
        <v>0.152080234298527</v>
      </c>
      <c r="I6" s="45" t="n">
        <f aca="false">CORREL(Data!$S$2:$S$243,Data!$Q$2:$Q$243)</f>
        <v>-0.153337534069307</v>
      </c>
      <c r="J6" s="45" t="n">
        <f aca="false">CORREL(Data!$S$2:$S$243,Data!$R$2:$R$243)</f>
        <v>0.00610870763166352</v>
      </c>
      <c r="K6" s="45" t="n">
        <f aca="false">CORREL(Data!$S$2:$S$243,Data!$J$2:$J$243)</f>
        <v>-0.0537433358619701</v>
      </c>
      <c r="L6" s="45" t="n">
        <f aca="false">CORREL(Data!$S$2:$S$243,Data!$K$2:$K$243)</f>
        <v>0.491887451436343</v>
      </c>
      <c r="M6" s="45" t="n">
        <f aca="false">CORREL(Data!$S$2:$S$243,Data!$L$2:$L$243)</f>
        <v>0.0588737103318615</v>
      </c>
      <c r="N6" s="45" t="n">
        <f aca="false">CORREL(Data!$S$2:$S$243,Data!$M$2:$M$243)</f>
        <v>-0.246546107401573</v>
      </c>
      <c r="O6" s="45" t="n">
        <f aca="false">CORREL(Data!$S$2:$S$243,Data!$N$2:$N$243)</f>
        <v>-0.136272339027735</v>
      </c>
      <c r="P6" s="45" t="n">
        <f aca="false">CORREL(Data!$S$2:$S$243,Data!$O$2:$O$243)</f>
        <v>0.537758382752809</v>
      </c>
    </row>
    <row r="7" customFormat="false" ht="15" hidden="false" customHeight="true" outlineLevel="0" collapsed="false">
      <c r="A7" s="44" t="s">
        <v>390</v>
      </c>
      <c r="B7" s="45" t="n">
        <f aca="false">CORREL(Data!$T$2:$T$243,Data!$F$2:$F$243)</f>
        <v>0.626793996194218</v>
      </c>
      <c r="C7" s="45" t="n">
        <f aca="false">CORREL(Data!$T$2:$T$243,Data!$S$2:$S$243)</f>
        <v>0.0367703194632909</v>
      </c>
      <c r="D7" s="45" t="n">
        <f aca="false">CORREL(Data!$T$2:$T$243,Data!$T$2:$T$243)</f>
        <v>1</v>
      </c>
      <c r="E7" s="45" t="n">
        <f aca="false">CORREL(Data!$T$2:$T$243,Data!$P$2:$P$243)</f>
        <v>0.0464847299664043</v>
      </c>
      <c r="F7" s="45" t="n">
        <f aca="false">CORREL(Data!$T$2:$T$243,Data!$G$2:$G$243)</f>
        <v>0.115798841756038</v>
      </c>
      <c r="G7" s="45" t="n">
        <f aca="false">CORREL(Data!$T$2:$T$243,Data!$H$2:$H$243)</f>
        <v>-0.179535939490842</v>
      </c>
      <c r="H7" s="45" t="n">
        <f aca="false">CORREL(Data!$T$2:$T$243,Data!$I$2:$I$243)</f>
        <v>0.12804025987611</v>
      </c>
      <c r="I7" s="45" t="n">
        <f aca="false">CORREL(Data!$T$2:$T$243,Data!$Q$2:$Q$243)</f>
        <v>0.284253481264456</v>
      </c>
      <c r="J7" s="45" t="n">
        <f aca="false">CORREL(Data!$T$2:$T$243,Data!$R$2:$R$243)</f>
        <v>0.265644626272981</v>
      </c>
      <c r="K7" s="45" t="n">
        <f aca="false">CORREL(Data!$T$2:$T$243,Data!$J$2:$J$243)</f>
        <v>0.294118168636774</v>
      </c>
      <c r="L7" s="45" t="n">
        <f aca="false">CORREL(Data!$T$2:$T$243,Data!$K$2:$K$243)</f>
        <v>-0.0545355182234895</v>
      </c>
      <c r="M7" s="45" t="n">
        <f aca="false">CORREL(Data!$T$2:$T$243,Data!$L$2:$L$243)</f>
        <v>0.319673134634232</v>
      </c>
      <c r="N7" s="45" t="n">
        <f aca="false">CORREL(Data!$T$2:$T$243,Data!$M$2:$M$243)</f>
        <v>0.388957619792261</v>
      </c>
      <c r="O7" s="45" t="n">
        <f aca="false">CORREL(Data!$T$2:$T$243,Data!$N$2:$N$243)</f>
        <v>0.114837498295239</v>
      </c>
      <c r="P7" s="45" t="n">
        <f aca="false">CORREL(Data!$T$2:$T$243,Data!$O$2:$O$243)</f>
        <v>-0.154727530203571</v>
      </c>
    </row>
    <row r="8" customFormat="false" ht="15" hidden="false" customHeight="true" outlineLevel="0" collapsed="false">
      <c r="A8" s="44" t="s">
        <v>391</v>
      </c>
      <c r="B8" s="45" t="n">
        <f aca="false">CORREL(Data!$P$2:$P$243,Data!$F$2:$F$243)</f>
        <v>0.39147187577919</v>
      </c>
      <c r="C8" s="45" t="n">
        <f aca="false">CORREL(Data!$P$2:$P$243,Data!$S$2:$S$243)</f>
        <v>0.466423841267737</v>
      </c>
      <c r="D8" s="45" t="n">
        <f aca="false">CORREL(Data!$P$2:$P$243,Data!$T$2:$T$243)</f>
        <v>0.0464847299664043</v>
      </c>
      <c r="E8" s="45" t="n">
        <f aca="false">CORREL(Data!$P$2:$P$243,Data!$P$2:$P$243)</f>
        <v>1</v>
      </c>
      <c r="F8" s="45" t="n">
        <f aca="false">CORREL(Data!$P$2:$P$243,Data!$G$2:$G$243)</f>
        <v>-0.0714685335744712</v>
      </c>
      <c r="G8" s="45" t="n">
        <f aca="false">CORREL(Data!$P$2:$P$243,Data!$H$2:$H$243)</f>
        <v>-0.0220271556252389</v>
      </c>
      <c r="H8" s="45" t="n">
        <f aca="false">CORREL(Data!$P$2:$P$243,Data!$I$2:$I$243)</f>
        <v>0.156305032861135</v>
      </c>
      <c r="I8" s="45" t="n">
        <f aca="false">CORREL(Data!$P$2:$P$243,Data!$Q$2:$Q$243)</f>
        <v>-0.338290344821261</v>
      </c>
      <c r="J8" s="45" t="n">
        <f aca="false">CORREL(Data!$P$2:$P$243,Data!$R$2:$R$243)</f>
        <v>0.0274335236215987</v>
      </c>
      <c r="K8" s="45" t="n">
        <f aca="false">CORREL(Data!$P$2:$P$243,Data!$J$2:$J$243)</f>
        <v>-0.120076379779456</v>
      </c>
      <c r="L8" s="45" t="n">
        <f aca="false">CORREL(Data!$P$2:$P$243,Data!$K$2:$K$243)</f>
        <v>0.465190286521351</v>
      </c>
      <c r="M8" s="45" t="n">
        <f aca="false">CORREL(Data!$P$2:$P$243,Data!$L$2:$L$243)</f>
        <v>-0.0827064082214112</v>
      </c>
      <c r="N8" s="45" t="n">
        <f aca="false">CORREL(Data!$P$2:$P$243,Data!$M$2:$M$243)</f>
        <v>-0.213049646636379</v>
      </c>
      <c r="O8" s="45" t="n">
        <f aca="false">CORREL(Data!$P$2:$P$243,Data!$N$2:$N$243)</f>
        <v>-0.0486687012884951</v>
      </c>
      <c r="P8" s="45" t="n">
        <f aca="false">CORREL(Data!$P$2:$P$243,Data!$O$2:$O$243)</f>
        <v>0.659686186467883</v>
      </c>
    </row>
    <row r="9" customFormat="false" ht="15" hidden="false" customHeight="true" outlineLevel="0" collapsed="false">
      <c r="A9" s="44" t="s">
        <v>29</v>
      </c>
      <c r="B9" s="45" t="n">
        <f aca="false">CORREL(Data!$G$2:$G$243,Data!$F$2:$F$243)</f>
        <v>0.225896555472934</v>
      </c>
      <c r="C9" s="45" t="n">
        <f aca="false">CORREL(Data!$G$2:$G$243,Data!$S$2:$S$243)</f>
        <v>0.200888612166673</v>
      </c>
      <c r="D9" s="45" t="n">
        <f aca="false">CORREL(Data!$G$2:$G$243,Data!$T$2:$T$243)</f>
        <v>0.115798841756038</v>
      </c>
      <c r="E9" s="45" t="n">
        <f aca="false">CORREL(Data!$G$2:$G$243,Data!$P$2:$P$243)</f>
        <v>-0.0714685335744712</v>
      </c>
      <c r="F9" s="45" t="n">
        <f aca="false">CORREL(Data!$G$2:$G$243,Data!$G$2:$G$243)</f>
        <v>1</v>
      </c>
      <c r="G9" s="45" t="n">
        <f aca="false">CORREL(Data!$G$2:$G$243,Data!$H$2:$H$243)</f>
        <v>-0.382057500300502</v>
      </c>
      <c r="H9" s="45" t="n">
        <f aca="false">CORREL(Data!$G$2:$G$243,Data!$I$2:$I$243)</f>
        <v>0.492364865949909</v>
      </c>
      <c r="I9" s="45" t="n">
        <f aca="false">CORREL(Data!$G$2:$G$243,Data!$Q$2:$Q$243)</f>
        <v>0.47851846098967</v>
      </c>
      <c r="J9" s="45" t="n">
        <f aca="false">CORREL(Data!$G$2:$G$243,Data!$R$2:$R$243)</f>
        <v>0.36425361158673</v>
      </c>
      <c r="K9" s="45" t="n">
        <f aca="false">CORREL(Data!$G$2:$G$243,Data!$J$2:$J$243)</f>
        <v>0.441333096586132</v>
      </c>
      <c r="L9" s="45" t="n">
        <f aca="false">CORREL(Data!$G$2:$G$243,Data!$K$2:$K$243)</f>
        <v>-0.253625969613573</v>
      </c>
      <c r="M9" s="45" t="n">
        <f aca="false">CORREL(Data!$G$2:$G$243,Data!$L$2:$L$243)</f>
        <v>-0.308686803229802</v>
      </c>
      <c r="N9" s="45" t="n">
        <f aca="false">CORREL(Data!$G$2:$G$243,Data!$M$2:$M$243)</f>
        <v>0.425893803713209</v>
      </c>
      <c r="O9" s="45" t="n">
        <f aca="false">CORREL(Data!$G$2:$G$243,Data!$N$2:$N$243)</f>
        <v>0.0134286967579979</v>
      </c>
      <c r="P9" s="45" t="n">
        <f aca="false">CORREL(Data!$G$2:$G$243,Data!$O$2:$O$243)</f>
        <v>-0.161446127899264</v>
      </c>
    </row>
    <row r="10" customFormat="false" ht="15" hidden="false" customHeight="true" outlineLevel="0" collapsed="false">
      <c r="A10" s="44" t="s">
        <v>30</v>
      </c>
      <c r="B10" s="45" t="n">
        <f aca="false">CORREL(Data!$H$2:$H$243,Data!$F$2:$F$243)</f>
        <v>-0.0792490095159986</v>
      </c>
      <c r="C10" s="45" t="n">
        <f aca="false">CORREL(Data!$H$2:$H$243,Data!$S$2:$S$243)</f>
        <v>0.0360970113260753</v>
      </c>
      <c r="D10" s="45" t="n">
        <f aca="false">CORREL(Data!$H$2:$H$243,Data!$T$2:$T$243)</f>
        <v>-0.179535939490842</v>
      </c>
      <c r="E10" s="45" t="n">
        <f aca="false">CORREL(Data!$H$2:$H$243,Data!$P$2:$P$243)</f>
        <v>-0.0220271556252389</v>
      </c>
      <c r="F10" s="45" t="n">
        <f aca="false">CORREL(Data!$H$2:$H$243,Data!$G$2:$G$243)</f>
        <v>-0.382057500300502</v>
      </c>
      <c r="G10" s="45" t="n">
        <f aca="false">CORREL(Data!$H$2:$H$243,Data!$H$2:$H$243)</f>
        <v>1</v>
      </c>
      <c r="H10" s="45" t="n">
        <f aca="false">CORREL(Data!$H$2:$H$243,Data!$I$2:$I$243)</f>
        <v>-0.665122450467443</v>
      </c>
      <c r="I10" s="45" t="n">
        <f aca="false">CORREL(Data!$H$2:$H$243,Data!$Q$2:$Q$243)</f>
        <v>-0.714093979363753</v>
      </c>
      <c r="J10" s="45" t="n">
        <f aca="false">CORREL(Data!$H$2:$H$243,Data!$R$2:$R$243)</f>
        <v>-0.60640995076054</v>
      </c>
      <c r="K10" s="45" t="n">
        <f aca="false">CORREL(Data!$H$2:$H$243,Data!$J$2:$J$243)</f>
        <v>-0.690449667441613</v>
      </c>
      <c r="L10" s="45" t="n">
        <f aca="false">CORREL(Data!$H$2:$H$243,Data!$K$2:$K$243)</f>
        <v>-0.0580485930387634</v>
      </c>
      <c r="M10" s="45" t="n">
        <f aca="false">CORREL(Data!$H$2:$H$243,Data!$L$2:$L$243)</f>
        <v>0.0350938141462119</v>
      </c>
      <c r="N10" s="45" t="n">
        <f aca="false">CORREL(Data!$H$2:$H$243,Data!$M$2:$M$243)</f>
        <v>-0.527536822396442</v>
      </c>
      <c r="O10" s="45" t="n">
        <f aca="false">CORREL(Data!$H$2:$H$243,Data!$N$2:$N$243)</f>
        <v>-0.3571277850249</v>
      </c>
      <c r="P10" s="45" t="n">
        <f aca="false">CORREL(Data!$H$2:$H$243,Data!$O$2:$O$243)</f>
        <v>-0.10282906901817</v>
      </c>
    </row>
    <row r="11" customFormat="false" ht="15" hidden="false" customHeight="true" outlineLevel="0" collapsed="false">
      <c r="A11" s="44" t="s">
        <v>31</v>
      </c>
      <c r="B11" s="45" t="n">
        <f aca="false">CORREL(Data!$I$2:$I$243,Data!$F$2:$F$243)</f>
        <v>0.195171952532142</v>
      </c>
      <c r="C11" s="45" t="n">
        <f aca="false">CORREL(Data!$I$2:$I$243,Data!$S$2:$S$243)</f>
        <v>0.152080234298527</v>
      </c>
      <c r="D11" s="45" t="n">
        <f aca="false">CORREL(Data!$I$2:$I$243,Data!$T$2:$T$243)</f>
        <v>0.12804025987611</v>
      </c>
      <c r="E11" s="45" t="n">
        <f aca="false">CORREL(Data!$I$2:$I$243,Data!$P$2:$P$243)</f>
        <v>0.156305032861135</v>
      </c>
      <c r="F11" s="45" t="n">
        <f aca="false">CORREL(Data!$I$2:$I$243,Data!$G$2:$G$243)</f>
        <v>0.492364865949909</v>
      </c>
      <c r="G11" s="45" t="n">
        <f aca="false">CORREL(Data!$I$2:$I$243,Data!$H$2:$H$243)</f>
        <v>-0.665122450467443</v>
      </c>
      <c r="H11" s="45" t="n">
        <f aca="false">CORREL(Data!$I$2:$I$243,Data!$I$2:$I$243)</f>
        <v>1</v>
      </c>
      <c r="I11" s="45" t="n">
        <f aca="false">CORREL(Data!$I$2:$I$243,Data!$Q$2:$Q$243)</f>
        <v>0.479372775106103</v>
      </c>
      <c r="J11" s="45" t="n">
        <f aca="false">CORREL(Data!$I$2:$I$243,Data!$R$2:$R$243)</f>
        <v>0.472146434971227</v>
      </c>
      <c r="K11" s="45" t="n">
        <f aca="false">CORREL(Data!$I$2:$I$243,Data!$J$2:$J$243)</f>
        <v>0.507835524460683</v>
      </c>
      <c r="L11" s="45" t="n">
        <f aca="false">CORREL(Data!$I$2:$I$243,Data!$K$2:$K$243)</f>
        <v>0.0806465654824578</v>
      </c>
      <c r="M11" s="45" t="n">
        <f aca="false">CORREL(Data!$I$2:$I$243,Data!$L$2:$L$243)</f>
        <v>-0.143876823902015</v>
      </c>
      <c r="N11" s="45" t="n">
        <f aca="false">CORREL(Data!$I$2:$I$243,Data!$M$2:$M$243)</f>
        <v>0.383056436156821</v>
      </c>
      <c r="O11" s="45" t="n">
        <f aca="false">CORREL(Data!$I$2:$I$243,Data!$N$2:$N$243)</f>
        <v>0.270530477518631</v>
      </c>
      <c r="P11" s="45" t="n">
        <f aca="false">CORREL(Data!$I$2:$I$243,Data!$O$2:$O$243)</f>
        <v>0.246220950126612</v>
      </c>
    </row>
    <row r="12" customFormat="false" ht="15" hidden="false" customHeight="true" outlineLevel="0" collapsed="false">
      <c r="A12" s="44" t="s">
        <v>392</v>
      </c>
      <c r="B12" s="45" t="n">
        <f aca="false">CORREL(Data!$Q$2:$Q$243,Data!$F$2:$F$243)</f>
        <v>0.0504627592913237</v>
      </c>
      <c r="C12" s="45" t="n">
        <f aca="false">CORREL(Data!$Q$2:$Q$243,Data!$S$2:$S$243)</f>
        <v>-0.153337534069307</v>
      </c>
      <c r="D12" s="45" t="n">
        <f aca="false">CORREL(Data!$Q$2:$Q$243,Data!$T$2:$T$243)</f>
        <v>0.284253481264456</v>
      </c>
      <c r="E12" s="45" t="n">
        <f aca="false">CORREL(Data!$Q$2:$Q$243,Data!$P$2:$P$243)</f>
        <v>-0.338290344821261</v>
      </c>
      <c r="F12" s="45" t="n">
        <f aca="false">CORREL(Data!$Q$2:$Q$243,Data!$G$2:$G$243)</f>
        <v>0.47851846098967</v>
      </c>
      <c r="G12" s="45" t="n">
        <f aca="false">CORREL(Data!$Q$2:$Q$243,Data!$H$2:$H$243)</f>
        <v>-0.714093979363753</v>
      </c>
      <c r="H12" s="45" t="n">
        <f aca="false">CORREL(Data!$Q$2:$Q$243,Data!$I$2:$I$243)</f>
        <v>0.479372775106103</v>
      </c>
      <c r="I12" s="45" t="n">
        <f aca="false">CORREL(Data!$Q$2:$Q$243,Data!$Q$2:$Q$243)</f>
        <v>1</v>
      </c>
      <c r="J12" s="45" t="n">
        <f aca="false">CORREL(Data!$Q$2:$Q$243,Data!$R$2:$R$243)</f>
        <v>0.744384178927316</v>
      </c>
      <c r="K12" s="45" t="n">
        <f aca="false">CORREL(Data!$Q$2:$Q$243,Data!$J$2:$J$243)</f>
        <v>0.899305835325063</v>
      </c>
      <c r="L12" s="45" t="n">
        <f aca="false">CORREL(Data!$Q$2:$Q$243,Data!$K$2:$K$243)</f>
        <v>-0.348197559705025</v>
      </c>
      <c r="M12" s="45" t="n">
        <f aca="false">CORREL(Data!$Q$2:$Q$243,Data!$L$2:$L$243)</f>
        <v>-0.0549480404891689</v>
      </c>
      <c r="N12" s="45" t="n">
        <f aca="false">CORREL(Data!$Q$2:$Q$243,Data!$M$2:$M$243)</f>
        <v>0.699507755588173</v>
      </c>
      <c r="O12" s="45" t="n">
        <f aca="false">CORREL(Data!$Q$2:$Q$243,Data!$N$2:$N$243)</f>
        <v>0.229224933921802</v>
      </c>
      <c r="P12" s="45" t="n">
        <f aca="false">CORREL(Data!$Q$2:$Q$243,Data!$O$2:$O$243)</f>
        <v>-0.279333623831113</v>
      </c>
    </row>
    <row r="13" customFormat="false" ht="15" hidden="false" customHeight="true" outlineLevel="0" collapsed="false">
      <c r="A13" s="44" t="s">
        <v>393</v>
      </c>
      <c r="B13" s="45" t="n">
        <f aca="false">CORREL(Data!$R$2:$R$243,Data!$F$2:$F$243)</f>
        <v>0.163657696102374</v>
      </c>
      <c r="C13" s="45" t="n">
        <f aca="false">CORREL(Data!$R$2:$R$243,Data!$S$2:$S$243)</f>
        <v>0.00610870763166352</v>
      </c>
      <c r="D13" s="45" t="n">
        <f aca="false">CORREL(Data!$R$2:$R$243,Data!$T$2:$T$243)</f>
        <v>0.265644626272981</v>
      </c>
      <c r="E13" s="45" t="n">
        <f aca="false">CORREL(Data!$R$2:$R$243,Data!$P$2:$P$243)</f>
        <v>0.0274335236215987</v>
      </c>
      <c r="F13" s="45" t="n">
        <f aca="false">CORREL(Data!$R$2:$R$243,Data!$G$2:$G$243)</f>
        <v>0.36425361158673</v>
      </c>
      <c r="G13" s="45" t="n">
        <f aca="false">CORREL(Data!$R$2:$R$243,Data!$H$2:$H$243)</f>
        <v>-0.60640995076054</v>
      </c>
      <c r="H13" s="45" t="n">
        <f aca="false">CORREL(Data!$R$2:$R$243,Data!$I$2:$I$243)</f>
        <v>0.472146434971227</v>
      </c>
      <c r="I13" s="45" t="n">
        <f aca="false">CORREL(Data!$R$2:$R$243,Data!$Q$2:$Q$243)</f>
        <v>0.744384178927316</v>
      </c>
      <c r="J13" s="45" t="n">
        <f aca="false">CORREL(Data!$R$2:$R$243,Data!$R$2:$R$243)</f>
        <v>1</v>
      </c>
      <c r="K13" s="45" t="n">
        <f aca="false">CORREL(Data!$R$2:$R$243,Data!$J$2:$J$243)</f>
        <v>0.961160855227411</v>
      </c>
      <c r="L13" s="45" t="n">
        <f aca="false">CORREL(Data!$R$2:$R$243,Data!$K$2:$K$243)</f>
        <v>-0.0631598575796544</v>
      </c>
      <c r="M13" s="45" t="n">
        <f aca="false">CORREL(Data!$R$2:$R$243,Data!$L$2:$L$243)</f>
        <v>-0.166265776599797</v>
      </c>
      <c r="N13" s="45" t="n">
        <f aca="false">CORREL(Data!$R$2:$R$243,Data!$M$2:$M$243)</f>
        <v>0.568748163650623</v>
      </c>
      <c r="O13" s="45" t="n">
        <f aca="false">CORREL(Data!$R$2:$R$243,Data!$N$2:$N$243)</f>
        <v>0.280931436274778</v>
      </c>
      <c r="P13" s="45" t="n">
        <f aca="false">CORREL(Data!$R$2:$R$243,Data!$O$2:$O$243)</f>
        <v>0.0944994176784457</v>
      </c>
    </row>
    <row r="14" customFormat="false" ht="15" hidden="false" customHeight="true" outlineLevel="0" collapsed="false">
      <c r="A14" s="44" t="s">
        <v>32</v>
      </c>
      <c r="B14" s="45" t="n">
        <f aca="false">CORREL(Data!$J$2:$J$243,Data!$F$2:$F$243)</f>
        <v>0.134020190041191</v>
      </c>
      <c r="C14" s="45" t="n">
        <f aca="false">CORREL(Data!$J$2:$J$243,Data!$S$2:$S$243)</f>
        <v>-0.0537433358619701</v>
      </c>
      <c r="D14" s="45" t="n">
        <f aca="false">CORREL(Data!$J$2:$J$243,Data!$T$2:$T$243)</f>
        <v>0.294118168636774</v>
      </c>
      <c r="E14" s="45" t="n">
        <f aca="false">CORREL(Data!$J$2:$J$243,Data!$P$2:$P$243)</f>
        <v>-0.120076379779456</v>
      </c>
      <c r="F14" s="45" t="n">
        <f aca="false">CORREL(Data!$J$2:$J$243,Data!$G$2:$G$243)</f>
        <v>0.441333096586132</v>
      </c>
      <c r="G14" s="45" t="n">
        <f aca="false">CORREL(Data!$J$2:$J$243,Data!$H$2:$H$243)</f>
        <v>-0.690449667441613</v>
      </c>
      <c r="H14" s="45" t="n">
        <f aca="false">CORREL(Data!$J$2:$J$243,Data!$I$2:$I$243)</f>
        <v>0.507835524460683</v>
      </c>
      <c r="I14" s="45" t="n">
        <f aca="false">CORREL(Data!$J$2:$J$243,Data!$Q$2:$Q$243)</f>
        <v>0.899305835325063</v>
      </c>
      <c r="J14" s="45" t="n">
        <f aca="false">CORREL(Data!$J$2:$J$243,Data!$R$2:$R$243)</f>
        <v>0.961160855227411</v>
      </c>
      <c r="K14" s="45" t="n">
        <f aca="false">CORREL(Data!$J$2:$J$243,Data!$J$2:$J$243)</f>
        <v>1</v>
      </c>
      <c r="L14" s="45" t="n">
        <f aca="false">CORREL(Data!$J$2:$J$243,Data!$K$2:$K$243)</f>
        <v>-0.184066986452548</v>
      </c>
      <c r="M14" s="45" t="n">
        <f aca="false">CORREL(Data!$J$2:$J$243,Data!$L$2:$L$243)</f>
        <v>-0.132757345543299</v>
      </c>
      <c r="N14" s="45" t="n">
        <f aca="false">CORREL(Data!$J$2:$J$243,Data!$M$2:$M$243)</f>
        <v>0.661033223852454</v>
      </c>
      <c r="O14" s="45" t="n">
        <f aca="false">CORREL(Data!$J$2:$J$243,Data!$N$2:$N$243)</f>
        <v>0.277453776469626</v>
      </c>
      <c r="P14" s="45" t="n">
        <f aca="false">CORREL(Data!$J$2:$J$243,Data!$O$2:$O$243)</f>
        <v>-0.0529413145537322</v>
      </c>
    </row>
    <row r="15" customFormat="false" ht="15" hidden="false" customHeight="true" outlineLevel="0" collapsed="false">
      <c r="A15" s="44" t="s">
        <v>33</v>
      </c>
      <c r="B15" s="45" t="n">
        <f aca="false">CORREL(Data!$K$2:$K$243,Data!$F$2:$F$243)</f>
        <v>0.350914658621757</v>
      </c>
      <c r="C15" s="45" t="n">
        <f aca="false">CORREL(Data!$K$2:$K$243,Data!$S$2:$S$243)</f>
        <v>0.491887451436343</v>
      </c>
      <c r="D15" s="45" t="n">
        <f aca="false">CORREL(Data!$K$2:$K$243,Data!$T$2:$T$243)</f>
        <v>-0.0545355182234895</v>
      </c>
      <c r="E15" s="45" t="n">
        <f aca="false">CORREL(Data!$K$2:$K$243,Data!$P$2:$P$243)</f>
        <v>0.465190286521351</v>
      </c>
      <c r="F15" s="45" t="n">
        <f aca="false">CORREL(Data!$K$2:$K$243,Data!$G$2:$G$243)</f>
        <v>-0.253625969613573</v>
      </c>
      <c r="G15" s="45" t="n">
        <f aca="false">CORREL(Data!$K$2:$K$243,Data!$H$2:$H$243)</f>
        <v>-0.0580485930387634</v>
      </c>
      <c r="H15" s="45" t="n">
        <f aca="false">CORREL(Data!$K$2:$K$243,Data!$I$2:$I$243)</f>
        <v>0.0806465654824578</v>
      </c>
      <c r="I15" s="45" t="n">
        <f aca="false">CORREL(Data!$K$2:$K$243,Data!$Q$2:$Q$243)</f>
        <v>-0.348197559705025</v>
      </c>
      <c r="J15" s="45" t="n">
        <f aca="false">CORREL(Data!$K$2:$K$243,Data!$R$2:$R$243)</f>
        <v>-0.0631598575796544</v>
      </c>
      <c r="K15" s="45" t="n">
        <f aca="false">CORREL(Data!$K$2:$K$243,Data!$J$2:$J$243)</f>
        <v>-0.184066986452548</v>
      </c>
      <c r="L15" s="45" t="n">
        <f aca="false">CORREL(Data!$K$2:$K$243,Data!$K$2:$K$243)</f>
        <v>1</v>
      </c>
      <c r="M15" s="45" t="n">
        <f aca="false">CORREL(Data!$K$2:$K$243,Data!$L$2:$L$243)</f>
        <v>0.244170697328934</v>
      </c>
      <c r="N15" s="45" t="n">
        <f aca="false">CORREL(Data!$K$2:$K$243,Data!$M$2:$M$243)</f>
        <v>-0.35822157718697</v>
      </c>
      <c r="O15" s="45" t="n">
        <f aca="false">CORREL(Data!$K$2:$K$243,Data!$N$2:$N$243)</f>
        <v>0.407062120688748</v>
      </c>
      <c r="P15" s="45" t="n">
        <f aca="false">CORREL(Data!$K$2:$K$243,Data!$O$2:$O$243)</f>
        <v>0.630678689856391</v>
      </c>
    </row>
    <row r="16" customFormat="false" ht="15" hidden="false" customHeight="true" outlineLevel="0" collapsed="false">
      <c r="A16" s="44" t="s">
        <v>34</v>
      </c>
      <c r="B16" s="45" t="n">
        <f aca="false">CORREL(Data!$L$2:$L$243,Data!$F$2:$F$243)</f>
        <v>0.237113357392277</v>
      </c>
      <c r="C16" s="45" t="n">
        <f aca="false">CORREL(Data!$L$2:$L$243,Data!$S$2:$S$243)</f>
        <v>0.0588737103318615</v>
      </c>
      <c r="D16" s="45" t="n">
        <f aca="false">CORREL(Data!$L$2:$L$243,Data!$T$2:$T$243)</f>
        <v>0.319673134634232</v>
      </c>
      <c r="E16" s="45" t="n">
        <f aca="false">CORREL(Data!$L$2:$L$243,Data!$P$2:$P$243)</f>
        <v>-0.0827064082214112</v>
      </c>
      <c r="F16" s="45" t="n">
        <f aca="false">CORREL(Data!$L$2:$L$243,Data!$G$2:$G$243)</f>
        <v>-0.308686803229802</v>
      </c>
      <c r="G16" s="45" t="n">
        <f aca="false">CORREL(Data!$L$2:$L$243,Data!$H$2:$H$243)</f>
        <v>0.0350938141462119</v>
      </c>
      <c r="H16" s="45" t="n">
        <f aca="false">CORREL(Data!$L$2:$L$243,Data!$I$2:$I$243)</f>
        <v>-0.143876823902015</v>
      </c>
      <c r="I16" s="45" t="n">
        <f aca="false">CORREL(Data!$L$2:$L$243,Data!$Q$2:$Q$243)</f>
        <v>-0.0549480404891689</v>
      </c>
      <c r="J16" s="45" t="n">
        <f aca="false">CORREL(Data!$L$2:$L$243,Data!$R$2:$R$243)</f>
        <v>-0.166265776599797</v>
      </c>
      <c r="K16" s="45" t="n">
        <f aca="false">CORREL(Data!$L$2:$L$243,Data!$J$2:$J$243)</f>
        <v>-0.132757345543299</v>
      </c>
      <c r="L16" s="45" t="n">
        <f aca="false">CORREL(Data!$L$2:$L$243,Data!$K$2:$K$243)</f>
        <v>0.244170697328934</v>
      </c>
      <c r="M16" s="45" t="n">
        <f aca="false">CORREL(Data!$L$2:$L$243,Data!$L$2:$L$243)</f>
        <v>1</v>
      </c>
      <c r="N16" s="45" t="n">
        <f aca="false">CORREL(Data!$L$2:$L$243,Data!$M$2:$M$243)</f>
        <v>-0.0716180094358854</v>
      </c>
      <c r="O16" s="45" t="n">
        <f aca="false">CORREL(Data!$L$2:$L$243,Data!$N$2:$N$243)</f>
        <v>0.217948802862032</v>
      </c>
      <c r="P16" s="45" t="n">
        <f aca="false">CORREL(Data!$L$2:$L$243,Data!$O$2:$O$243)</f>
        <v>-0.0841476901719567</v>
      </c>
    </row>
    <row r="17" customFormat="false" ht="15" hidden="false" customHeight="true" outlineLevel="0" collapsed="false">
      <c r="A17" s="44" t="s">
        <v>35</v>
      </c>
      <c r="B17" s="45" t="n">
        <f aca="false">CORREL(Data!$M$2:$M$243,Data!$F$2:$F$243)</f>
        <v>0.0404085485337133</v>
      </c>
      <c r="C17" s="45" t="n">
        <f aca="false">CORREL(Data!$M$2:$M$243,Data!$S$2:$S$243)</f>
        <v>-0.246546107401573</v>
      </c>
      <c r="D17" s="45" t="n">
        <f aca="false">CORREL(Data!$M$2:$M$243,Data!$T$2:$T$243)</f>
        <v>0.388957619792261</v>
      </c>
      <c r="E17" s="45" t="n">
        <f aca="false">CORREL(Data!$M$2:$M$243,Data!$P$2:$P$243)</f>
        <v>-0.213049646636379</v>
      </c>
      <c r="F17" s="45" t="n">
        <f aca="false">CORREL(Data!$M$2:$M$243,Data!$G$2:$G$243)</f>
        <v>0.425893803713209</v>
      </c>
      <c r="G17" s="45" t="n">
        <f aca="false">CORREL(Data!$M$2:$M$243,Data!$H$2:$H$243)</f>
        <v>-0.527536822396442</v>
      </c>
      <c r="H17" s="45" t="n">
        <f aca="false">CORREL(Data!$M$2:$M$243,Data!$I$2:$I$243)</f>
        <v>0.383056436156821</v>
      </c>
      <c r="I17" s="45" t="n">
        <f aca="false">CORREL(Data!$M$2:$M$243,Data!$Q$2:$Q$243)</f>
        <v>0.699507755588173</v>
      </c>
      <c r="J17" s="45" t="n">
        <f aca="false">CORREL(Data!$M$2:$M$243,Data!$R$2:$R$243)</f>
        <v>0.568748163650623</v>
      </c>
      <c r="K17" s="45" t="n">
        <f aca="false">CORREL(Data!$M$2:$M$243,Data!$J$2:$J$243)</f>
        <v>0.661033223852454</v>
      </c>
      <c r="L17" s="45" t="n">
        <f aca="false">CORREL(Data!$M$2:$M$243,Data!$K$2:$K$243)</f>
        <v>-0.35822157718697</v>
      </c>
      <c r="M17" s="45" t="n">
        <f aca="false">CORREL(Data!$M$2:$M$243,Data!$L$2:$L$243)</f>
        <v>-0.0716180094358854</v>
      </c>
      <c r="N17" s="45" t="n">
        <f aca="false">CORREL(Data!$M$2:$M$243,Data!$M$2:$M$243)</f>
        <v>1</v>
      </c>
      <c r="O17" s="45" t="n">
        <f aca="false">CORREL(Data!$M$2:$M$243,Data!$N$2:$N$243)</f>
        <v>0.140596423014252</v>
      </c>
      <c r="P17" s="45" t="n">
        <f aca="false">CORREL(Data!$M$2:$M$243,Data!$O$2:$O$243)</f>
        <v>-0.199288809667734</v>
      </c>
    </row>
    <row r="18" customFormat="false" ht="15" hidden="false" customHeight="true" outlineLevel="0" collapsed="false">
      <c r="A18" s="44" t="s">
        <v>36</v>
      </c>
      <c r="B18" s="45" t="n">
        <f aca="false">CORREL(Data!$N$2:$N$243,Data!$F$2:$F$243)</f>
        <v>-0.0375662669488098</v>
      </c>
      <c r="C18" s="45" t="n">
        <f aca="false">CORREL(Data!$N$2:$N$243,Data!$S$2:$S$243)</f>
        <v>-0.136272339027735</v>
      </c>
      <c r="D18" s="45" t="n">
        <f aca="false">CORREL(Data!$N$2:$N$243,Data!$T$2:$T$243)</f>
        <v>0.114837498295239</v>
      </c>
      <c r="E18" s="45" t="n">
        <f aca="false">CORREL(Data!$N$2:$N$243,Data!$P$2:$P$243)</f>
        <v>-0.0486687012884951</v>
      </c>
      <c r="F18" s="45" t="n">
        <f aca="false">CORREL(Data!$N$2:$N$243,Data!$G$2:$G$243)</f>
        <v>0.0134286967579979</v>
      </c>
      <c r="G18" s="45" t="n">
        <f aca="false">CORREL(Data!$N$2:$N$243,Data!$H$2:$H$243)</f>
        <v>-0.3571277850249</v>
      </c>
      <c r="H18" s="45" t="n">
        <f aca="false">CORREL(Data!$N$2:$N$243,Data!$I$2:$I$243)</f>
        <v>0.270530477518631</v>
      </c>
      <c r="I18" s="45" t="n">
        <f aca="false">CORREL(Data!$N$2:$N$243,Data!$Q$2:$Q$243)</f>
        <v>0.229224933921802</v>
      </c>
      <c r="J18" s="45" t="n">
        <f aca="false">CORREL(Data!$N$2:$N$243,Data!$R$2:$R$243)</f>
        <v>0.280931436274778</v>
      </c>
      <c r="K18" s="45" t="n">
        <f aca="false">CORREL(Data!$N$2:$N$243,Data!$J$2:$J$243)</f>
        <v>0.277453776469626</v>
      </c>
      <c r="L18" s="45" t="n">
        <f aca="false">CORREL(Data!$N$2:$N$243,Data!$K$2:$K$243)</f>
        <v>0.407062120688748</v>
      </c>
      <c r="M18" s="45" t="n">
        <f aca="false">CORREL(Data!$N$2:$N$243,Data!$L$2:$L$243)</f>
        <v>0.217948802862032</v>
      </c>
      <c r="N18" s="45" t="n">
        <f aca="false">CORREL(Data!$N$2:$N$243,Data!$M$2:$M$243)</f>
        <v>0.140596423014252</v>
      </c>
      <c r="O18" s="45" t="n">
        <f aca="false">CORREL(Data!$N$2:$N$243,Data!$N$2:$N$243)</f>
        <v>1</v>
      </c>
      <c r="P18" s="45" t="n">
        <f aca="false">CORREL(Data!$N$2:$N$243,Data!$O$2:$O$243)</f>
        <v>-0.0383305389556988</v>
      </c>
    </row>
    <row r="19" customFormat="false" ht="15" hidden="false" customHeight="true" outlineLevel="0" collapsed="false">
      <c r="A19" s="44" t="s">
        <v>37</v>
      </c>
      <c r="B19" s="45" t="n">
        <f aca="false">CORREL(Data!$O$2:$O$243,Data!$F$2:$F$243)</f>
        <v>0.326751042609658</v>
      </c>
      <c r="C19" s="45" t="n">
        <f aca="false">CORREL(Data!$O$2:$O$243,Data!$S$2:$S$243)</f>
        <v>0.537758382752809</v>
      </c>
      <c r="D19" s="45" t="n">
        <f aca="false">CORREL(Data!$O$2:$O$243,Data!$T$2:$T$243)</f>
        <v>-0.154727530203571</v>
      </c>
      <c r="E19" s="45" t="n">
        <f aca="false">CORREL(Data!$O$2:$O$243,Data!$P$2:$P$243)</f>
        <v>0.659686186467883</v>
      </c>
      <c r="F19" s="45" t="n">
        <f aca="false">CORREL(Data!$O$2:$O$243,Data!$G$2:$G$243)</f>
        <v>-0.161446127899264</v>
      </c>
      <c r="G19" s="45" t="n">
        <f aca="false">CORREL(Data!$O$2:$O$243,Data!$H$2:$H$243)</f>
        <v>-0.10282906901817</v>
      </c>
      <c r="H19" s="45" t="n">
        <f aca="false">CORREL(Data!$O$2:$O$243,Data!$I$2:$I$243)</f>
        <v>0.246220950126612</v>
      </c>
      <c r="I19" s="45" t="n">
        <f aca="false">CORREL(Data!$O$2:$O$243,Data!$Q$2:$Q$243)</f>
        <v>-0.279333623831113</v>
      </c>
      <c r="J19" s="45" t="n">
        <f aca="false">CORREL(Data!$O$2:$O$243,Data!$R$2:$R$243)</f>
        <v>0.0944994176784457</v>
      </c>
      <c r="K19" s="45" t="n">
        <f aca="false">CORREL(Data!$O$2:$O$243,Data!$J$2:$J$243)</f>
        <v>-0.0529413145537322</v>
      </c>
      <c r="L19" s="45" t="n">
        <f aca="false">CORREL(Data!$O$2:$O$243,Data!$K$2:$K$243)</f>
        <v>0.630678689856391</v>
      </c>
      <c r="M19" s="45" t="n">
        <f aca="false">CORREL(Data!$O$2:$O$243,Data!$L$2:$L$243)</f>
        <v>-0.0841476901719567</v>
      </c>
      <c r="N19" s="45" t="n">
        <f aca="false">CORREL(Data!$O$2:$O$243,Data!$M$2:$M$243)</f>
        <v>-0.199288809667734</v>
      </c>
      <c r="O19" s="45" t="n">
        <f aca="false">CORREL(Data!$O$2:$O$243,Data!$N$2:$N$243)</f>
        <v>-0.0383305389556988</v>
      </c>
      <c r="P19" s="45" t="n">
        <f aca="false">CORREL(Data!$O$2:$O$243,Data!$O$2:$O$243)</f>
        <v>1</v>
      </c>
    </row>
    <row r="21" customFormat="false" ht="15" hidden="false" customHeight="true" outlineLevel="0" collapsed="false">
      <c r="A21" s="36" t="s">
        <v>394</v>
      </c>
    </row>
    <row r="22" customFormat="false" ht="15" hidden="false" customHeight="true" outlineLevel="0" collapsed="false">
      <c r="A22" s="36" t="s">
        <v>395</v>
      </c>
    </row>
    <row r="23" customFormat="false" ht="15" hidden="false" customHeight="true" outlineLevel="0" collapsed="false">
      <c r="A23" s="36" t="s">
        <v>396</v>
      </c>
    </row>
  </sheetData>
  <conditionalFormatting sqref="B5:P19">
    <cfRule type="colorScale" priority="2">
      <colorScale>
        <cfvo type="num" val="-1"/>
        <cfvo type="num" val="0"/>
        <cfvo type="num" val="1"/>
        <color rgb="FF2F6FB0"/>
        <color rgb="FFFFFFFF"/>
        <color rgb="FFE06A2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7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8" min="8" style="1" width="13"/>
    <col collapsed="false" customWidth="true" hidden="false" outlineLevel="0" max="9" min="9" style="1" width="15"/>
  </cols>
  <sheetData>
    <row r="1" customFormat="false" ht="17.25" hidden="false" customHeight="true" outlineLevel="0" collapsed="false">
      <c r="A1" s="2" t="s">
        <v>397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6" t="s">
        <v>316</v>
      </c>
      <c r="B3" s="6" t="s">
        <v>371</v>
      </c>
      <c r="C3" s="6" t="s">
        <v>398</v>
      </c>
      <c r="D3" s="6" t="s">
        <v>399</v>
      </c>
      <c r="E3" s="6" t="s">
        <v>400</v>
      </c>
      <c r="F3" s="6" t="s">
        <v>401</v>
      </c>
      <c r="G3" s="6" t="s">
        <v>402</v>
      </c>
      <c r="H3" s="6" t="s">
        <v>403</v>
      </c>
      <c r="I3" s="6" t="s">
        <v>324</v>
      </c>
    </row>
    <row r="4" customFormat="false" ht="15" hidden="false" customHeight="true" outlineLevel="0" collapsed="false">
      <c r="A4" s="27" t="s">
        <v>29</v>
      </c>
      <c r="B4" s="46" t="n">
        <f aca="false">RANK(C4,$C$4:$C$12)</f>
        <v>3</v>
      </c>
      <c r="C4" s="47" t="n">
        <v>0.080729</v>
      </c>
      <c r="D4" s="48" t="n">
        <f aca="false">C4</f>
        <v>0.080729</v>
      </c>
      <c r="E4" s="49" t="n">
        <f aca="false">C4/Answers!$B$6</f>
        <v>0.1795760989961</v>
      </c>
      <c r="F4" s="50" t="n">
        <f aca="false">RSQ(Data!$F$2:$F$243,Data!$G$2:$G$243)</f>
        <v>0.0510292537745362</v>
      </c>
      <c r="G4" s="47" t="n">
        <v>0.087906</v>
      </c>
      <c r="H4" s="51" t="n">
        <f aca="false">G4-F4</f>
        <v>0.0368767462254638</v>
      </c>
      <c r="I4" s="52" t="str">
        <f aca="false">Model_OLS!I4</f>
        <v>positive</v>
      </c>
    </row>
    <row r="5" customFormat="false" ht="15" hidden="false" customHeight="true" outlineLevel="0" collapsed="false">
      <c r="A5" s="27" t="s">
        <v>30</v>
      </c>
      <c r="B5" s="46" t="n">
        <f aca="false">RANK(C5,$C$4:$C$12)</f>
        <v>8</v>
      </c>
      <c r="C5" s="47" t="n">
        <v>0.014152</v>
      </c>
      <c r="D5" s="48" t="n">
        <f aca="false">C5</f>
        <v>0.014152</v>
      </c>
      <c r="E5" s="49" t="n">
        <f aca="false">C5/Answers!$B$6</f>
        <v>0.0314801490541541</v>
      </c>
      <c r="F5" s="50" t="n">
        <f aca="false">RSQ(Data!$F$2:$F$243,Data!$H$2:$H$243)</f>
        <v>0.00628040550926684</v>
      </c>
      <c r="G5" s="47" t="n">
        <v>0.029066</v>
      </c>
      <c r="H5" s="51" t="n">
        <f aca="false">G5-F5</f>
        <v>0.0227855944907332</v>
      </c>
      <c r="I5" s="52" t="str">
        <f aca="false">Model_OLS!I5</f>
        <v>positive</v>
      </c>
    </row>
    <row r="6" customFormat="false" ht="15" hidden="false" customHeight="true" outlineLevel="0" collapsed="false">
      <c r="A6" s="27" t="s">
        <v>31</v>
      </c>
      <c r="B6" s="46" t="n">
        <f aca="false">RANK(C6,$C$4:$C$12)</f>
        <v>7</v>
      </c>
      <c r="C6" s="47" t="n">
        <v>0.017442</v>
      </c>
      <c r="D6" s="48" t="n">
        <f aca="false">C6</f>
        <v>0.017442</v>
      </c>
      <c r="E6" s="49" t="n">
        <f aca="false">C6/Answers!$B$6</f>
        <v>0.0387985274026679</v>
      </c>
      <c r="F6" s="50" t="n">
        <f aca="false">RSQ(Data!$F$2:$F$243,Data!$I$2:$I$243)</f>
        <v>0.0380920910552088</v>
      </c>
      <c r="G6" s="47" t="n">
        <v>0.002372</v>
      </c>
      <c r="H6" s="51" t="n">
        <f aca="false">G6-F6</f>
        <v>-0.0357200910552089</v>
      </c>
      <c r="I6" s="52" t="str">
        <f aca="false">Model_OLS!I6</f>
        <v>weak / unclear</v>
      </c>
    </row>
    <row r="7" customFormat="false" ht="15" hidden="false" customHeight="true" outlineLevel="0" collapsed="false">
      <c r="A7" s="27" t="s">
        <v>32</v>
      </c>
      <c r="B7" s="46" t="n">
        <f aca="false">RANK(C7,$C$4:$C$12)</f>
        <v>6</v>
      </c>
      <c r="C7" s="47" t="n">
        <v>0.026014</v>
      </c>
      <c r="D7" s="48" t="n">
        <f aca="false">C7</f>
        <v>0.026014</v>
      </c>
      <c r="E7" s="49" t="n">
        <f aca="false">C7/Answers!$B$6</f>
        <v>0.0578663508687651</v>
      </c>
      <c r="F7" s="50" t="n">
        <f aca="false">RSQ(Data!$F$2:$F$243,Data!$J$2:$J$243)</f>
        <v>0.0179614113386769</v>
      </c>
      <c r="G7" s="47" t="n">
        <v>0.037822</v>
      </c>
      <c r="H7" s="51" t="n">
        <f aca="false">G7-F7</f>
        <v>0.0198605886613231</v>
      </c>
      <c r="I7" s="52" t="str">
        <f aca="false">Model_OLS!I7</f>
        <v>positive</v>
      </c>
    </row>
    <row r="8" customFormat="false" ht="15" hidden="false" customHeight="true" outlineLevel="0" collapsed="false">
      <c r="A8" s="27" t="s">
        <v>33</v>
      </c>
      <c r="B8" s="46" t="n">
        <f aca="false">RANK(C8,$C$4:$C$12)</f>
        <v>1</v>
      </c>
      <c r="C8" s="47" t="n">
        <v>0.1139</v>
      </c>
      <c r="D8" s="48" t="n">
        <f aca="false">C8</f>
        <v>0.1139</v>
      </c>
      <c r="E8" s="49" t="n">
        <f aca="false">C8/Answers!$B$6</f>
        <v>0.253362703311769</v>
      </c>
      <c r="F8" s="50" t="n">
        <f aca="false">RSQ(Data!$F$2:$F$243,Data!$K$2:$K$243)</f>
        <v>0.123141097635625</v>
      </c>
      <c r="G8" s="47" t="n">
        <v>0.075512</v>
      </c>
      <c r="H8" s="51" t="n">
        <f aca="false">G8-F8</f>
        <v>-0.0476290976356245</v>
      </c>
      <c r="I8" s="52" t="str">
        <f aca="false">Model_OLS!I8</f>
        <v>positive</v>
      </c>
    </row>
    <row r="9" customFormat="false" ht="15" hidden="false" customHeight="true" outlineLevel="0" collapsed="false">
      <c r="A9" s="27" t="s">
        <v>34</v>
      </c>
      <c r="B9" s="46" t="n">
        <f aca="false">RANK(C9,$C$4:$C$12)</f>
        <v>2</v>
      </c>
      <c r="C9" s="47" t="n">
        <v>0.085879</v>
      </c>
      <c r="D9" s="48" t="n">
        <f aca="false">C9</f>
        <v>0.085879</v>
      </c>
      <c r="E9" s="49" t="n">
        <f aca="false">C9/Answers!$B$6</f>
        <v>0.191031919207299</v>
      </c>
      <c r="F9" s="50" t="n">
        <f aca="false">RSQ(Data!$F$2:$F$243,Data!$L$2:$L$243)</f>
        <v>0.0562227442538379</v>
      </c>
      <c r="G9" s="47" t="n">
        <v>0.102075</v>
      </c>
      <c r="H9" s="51" t="n">
        <f aca="false">G9-F9</f>
        <v>0.0458522557461621</v>
      </c>
      <c r="I9" s="52" t="str">
        <f aca="false">Model_OLS!I9</f>
        <v>positive</v>
      </c>
    </row>
    <row r="10" customFormat="false" ht="15" hidden="false" customHeight="true" outlineLevel="0" collapsed="false">
      <c r="A10" s="27" t="s">
        <v>35</v>
      </c>
      <c r="B10" s="46" t="n">
        <f aca="false">RANK(C10,$C$4:$C$12)</f>
        <v>9</v>
      </c>
      <c r="C10" s="47" t="n">
        <v>0.006994</v>
      </c>
      <c r="D10" s="48" t="n">
        <f aca="false">C10</f>
        <v>0.006994</v>
      </c>
      <c r="E10" s="49" t="n">
        <f aca="false">C10/Answers!$B$6</f>
        <v>0.0155576711761414</v>
      </c>
      <c r="F10" s="50" t="n">
        <f aca="false">RSQ(Data!$F$2:$F$243,Data!$M$2:$M$243)</f>
        <v>0.00163285079460147</v>
      </c>
      <c r="G10" s="47" t="n">
        <v>0.002016</v>
      </c>
      <c r="H10" s="51" t="n">
        <f aca="false">G10-F10</f>
        <v>0.000383149205398535</v>
      </c>
      <c r="I10" s="52" t="str">
        <f aca="false">Model_OLS!I10</f>
        <v>weak / unclear</v>
      </c>
    </row>
    <row r="11" customFormat="false" ht="15" hidden="false" customHeight="true" outlineLevel="0" collapsed="false">
      <c r="A11" s="27" t="s">
        <v>36</v>
      </c>
      <c r="B11" s="46" t="n">
        <f aca="false">RANK(C11,$C$4:$C$12)</f>
        <v>5</v>
      </c>
      <c r="C11" s="47" t="n">
        <v>0.037697</v>
      </c>
      <c r="D11" s="48" t="n">
        <f aca="false">C11</f>
        <v>0.037697</v>
      </c>
      <c r="E11" s="49" t="n">
        <f aca="false">C11/Answers!$B$6</f>
        <v>0.0838543795148704</v>
      </c>
      <c r="F11" s="50" t="n">
        <f aca="false">RSQ(Data!$F$2:$F$243,Data!$N$2:$N$243)</f>
        <v>0.00141122441246924</v>
      </c>
      <c r="G11" s="47" t="n">
        <v>0.058432</v>
      </c>
      <c r="H11" s="51" t="n">
        <f aca="false">G11-F11</f>
        <v>0.0570207755875308</v>
      </c>
      <c r="I11" s="52" t="str">
        <f aca="false">Model_OLS!I11</f>
        <v>negative</v>
      </c>
    </row>
    <row r="12" customFormat="false" ht="15" hidden="false" customHeight="true" outlineLevel="0" collapsed="false">
      <c r="A12" s="27" t="s">
        <v>37</v>
      </c>
      <c r="B12" s="46" t="n">
        <f aca="false">RANK(C12,$C$4:$C$12)</f>
        <v>4</v>
      </c>
      <c r="C12" s="47" t="n">
        <v>0.066746</v>
      </c>
      <c r="D12" s="48" t="n">
        <f aca="false">C12</f>
        <v>0.066746</v>
      </c>
      <c r="E12" s="49" t="n">
        <f aca="false">C12/Answers!$B$6</f>
        <v>0.148471878799362</v>
      </c>
      <c r="F12" s="50" t="n">
        <f aca="false">RSQ(Data!$F$2:$F$243,Data!$O$2:$O$243)</f>
        <v>0.106766243846499</v>
      </c>
      <c r="G12" s="47" t="n">
        <v>0.005235</v>
      </c>
      <c r="H12" s="51" t="n">
        <f aca="false">G12-F12</f>
        <v>-0.101531243846499</v>
      </c>
      <c r="I12" s="52" t="str">
        <f aca="false">Model_OLS!I12</f>
        <v>weak / unclear</v>
      </c>
    </row>
    <row r="13" customFormat="false" ht="15" hidden="false" customHeight="true" outlineLevel="0" collapsed="false">
      <c r="A13" s="25" t="s">
        <v>404</v>
      </c>
      <c r="B13" s="3"/>
      <c r="C13" s="53" t="n">
        <f aca="false">SUM(C4:C12)</f>
        <v>0.449553</v>
      </c>
      <c r="D13" s="54" t="n">
        <f aca="false">SUM(D4:D12)</f>
        <v>0.449553</v>
      </c>
      <c r="E13" s="54" t="n">
        <f aca="false">SUM(E4:E12)</f>
        <v>0.999999678331128</v>
      </c>
      <c r="F13" s="3"/>
      <c r="G13" s="3"/>
      <c r="H13" s="3"/>
      <c r="I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true" outlineLevel="0" collapsed="false">
      <c r="A15" s="25" t="s">
        <v>335</v>
      </c>
      <c r="B15" s="3"/>
      <c r="C15" s="3"/>
      <c r="D15" s="3"/>
      <c r="E15" s="3"/>
      <c r="F15" s="3"/>
      <c r="G15" s="3"/>
      <c r="H15" s="3"/>
      <c r="I15" s="3"/>
    </row>
    <row r="16" customFormat="false" ht="27.75" hidden="false" customHeight="true" outlineLevel="0" collapsed="false">
      <c r="A16" s="35" t="s">
        <v>405</v>
      </c>
      <c r="B16" s="35"/>
      <c r="C16" s="35"/>
      <c r="D16" s="35"/>
      <c r="E16" s="35"/>
      <c r="F16" s="35"/>
      <c r="G16" s="35"/>
      <c r="H16" s="35"/>
      <c r="I16" s="35"/>
    </row>
    <row r="17" customFormat="false" ht="27.75" hidden="false" customHeight="true" outlineLevel="0" collapsed="false">
      <c r="A17" s="35" t="s">
        <v>406</v>
      </c>
      <c r="B17" s="35"/>
      <c r="C17" s="35"/>
      <c r="D17" s="35"/>
      <c r="E17" s="35"/>
      <c r="F17" s="35"/>
      <c r="G17" s="35"/>
      <c r="H17" s="35"/>
      <c r="I17" s="35"/>
    </row>
    <row r="18" customFormat="false" ht="27.75" hidden="false" customHeight="true" outlineLevel="0" collapsed="false">
      <c r="A18" s="35" t="s">
        <v>407</v>
      </c>
      <c r="B18" s="35"/>
      <c r="C18" s="35"/>
      <c r="D18" s="35"/>
      <c r="E18" s="35"/>
      <c r="F18" s="35"/>
      <c r="G18" s="35"/>
      <c r="H18" s="35"/>
      <c r="I18" s="35"/>
    </row>
  </sheetData>
  <mergeCells count="3"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10" min="2" style="1" width="9"/>
    <col collapsed="false" customWidth="true" hidden="false" outlineLevel="0" max="11" min="11" style="1" width="16"/>
  </cols>
  <sheetData>
    <row r="1" customFormat="false" ht="17.25" hidden="false" customHeight="true" outlineLevel="0" collapsed="false">
      <c r="A1" s="2" t="s">
        <v>408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4.5" hidden="false" customHeight="true" outlineLevel="0" collapsed="false">
      <c r="A3" s="6" t="s">
        <v>316</v>
      </c>
      <c r="B3" s="6" t="s">
        <v>409</v>
      </c>
      <c r="C3" s="6" t="s">
        <v>410</v>
      </c>
      <c r="D3" s="6" t="s">
        <v>411</v>
      </c>
      <c r="E3" s="6" t="s">
        <v>412</v>
      </c>
      <c r="F3" s="6" t="s">
        <v>413</v>
      </c>
      <c r="G3" s="6" t="s">
        <v>414</v>
      </c>
      <c r="H3" s="6" t="s">
        <v>415</v>
      </c>
      <c r="I3" s="6" t="s">
        <v>416</v>
      </c>
      <c r="J3" s="6" t="s">
        <v>417</v>
      </c>
      <c r="K3" s="6" t="s">
        <v>418</v>
      </c>
    </row>
    <row r="4" customFormat="false" ht="15" hidden="false" customHeight="true" outlineLevel="0" collapsed="false">
      <c r="A4" s="27" t="s">
        <v>29</v>
      </c>
      <c r="B4" s="47" t="n">
        <v>0.051029</v>
      </c>
      <c r="C4" s="47" t="n">
        <v>0.061328</v>
      </c>
      <c r="D4" s="47" t="n">
        <v>0.071114</v>
      </c>
      <c r="E4" s="47" t="n">
        <v>0.080125</v>
      </c>
      <c r="F4" s="47" t="n">
        <v>0.087978</v>
      </c>
      <c r="G4" s="47" t="n">
        <v>0.094088</v>
      </c>
      <c r="H4" s="47" t="n">
        <v>0.097224</v>
      </c>
      <c r="I4" s="47" t="n">
        <v>0.095773</v>
      </c>
      <c r="J4" s="47" t="n">
        <v>0.087906</v>
      </c>
      <c r="K4" s="50" t="n">
        <f aca="false">AVERAGE(B4:J4)</f>
        <v>0.0807294444444445</v>
      </c>
    </row>
    <row r="5" customFormat="false" ht="15" hidden="false" customHeight="true" outlineLevel="0" collapsed="false">
      <c r="A5" s="27" t="s">
        <v>30</v>
      </c>
      <c r="B5" s="47" t="n">
        <v>0.00628</v>
      </c>
      <c r="C5" s="47" t="n">
        <v>0.004092</v>
      </c>
      <c r="D5" s="47" t="n">
        <v>0.005143</v>
      </c>
      <c r="E5" s="47" t="n">
        <v>0.008109</v>
      </c>
      <c r="F5" s="47" t="n">
        <v>0.012021</v>
      </c>
      <c r="G5" s="47" t="n">
        <v>0.016449</v>
      </c>
      <c r="H5" s="47" t="n">
        <v>0.020969</v>
      </c>
      <c r="I5" s="47" t="n">
        <v>0.025241</v>
      </c>
      <c r="J5" s="47" t="n">
        <v>0.029066</v>
      </c>
      <c r="K5" s="50" t="n">
        <f aca="false">AVERAGE(B5:J5)</f>
        <v>0.0141522222222222</v>
      </c>
    </row>
    <row r="6" customFormat="false" ht="15" hidden="false" customHeight="true" outlineLevel="0" collapsed="false">
      <c r="A6" s="27" t="s">
        <v>31</v>
      </c>
      <c r="B6" s="47" t="n">
        <v>0.038092</v>
      </c>
      <c r="C6" s="47" t="n">
        <v>0.030816</v>
      </c>
      <c r="D6" s="47" t="n">
        <v>0.024542</v>
      </c>
      <c r="E6" s="47" t="n">
        <v>0.019339</v>
      </c>
      <c r="F6" s="47" t="n">
        <v>0.015097</v>
      </c>
      <c r="G6" s="47" t="n">
        <v>0.011775</v>
      </c>
      <c r="H6" s="47" t="n">
        <v>0.008949</v>
      </c>
      <c r="I6" s="47" t="n">
        <v>0.005993</v>
      </c>
      <c r="J6" s="47" t="n">
        <v>0.002372</v>
      </c>
      <c r="K6" s="50" t="n">
        <f aca="false">AVERAGE(B6:J6)</f>
        <v>0.0174416666666667</v>
      </c>
    </row>
    <row r="7" customFormat="false" ht="15" hidden="false" customHeight="true" outlineLevel="0" collapsed="false">
      <c r="A7" s="27" t="s">
        <v>32</v>
      </c>
      <c r="B7" s="47" t="n">
        <v>0.017961</v>
      </c>
      <c r="C7" s="47" t="n">
        <v>0.018732</v>
      </c>
      <c r="D7" s="47" t="n">
        <v>0.020138</v>
      </c>
      <c r="E7" s="47" t="n">
        <v>0.022021</v>
      </c>
      <c r="F7" s="47" t="n">
        <v>0.024399</v>
      </c>
      <c r="G7" s="47" t="n">
        <v>0.027468</v>
      </c>
      <c r="H7" s="47" t="n">
        <v>0.031011</v>
      </c>
      <c r="I7" s="47" t="n">
        <v>0.03457</v>
      </c>
      <c r="J7" s="47" t="n">
        <v>0.037822</v>
      </c>
      <c r="K7" s="50" t="n">
        <f aca="false">AVERAGE(B7:J7)</f>
        <v>0.0260135555555556</v>
      </c>
    </row>
    <row r="8" customFormat="false" ht="15" hidden="false" customHeight="true" outlineLevel="0" collapsed="false">
      <c r="A8" s="27" t="s">
        <v>33</v>
      </c>
      <c r="B8" s="47" t="n">
        <v>0.123141</v>
      </c>
      <c r="C8" s="47" t="n">
        <v>0.124695</v>
      </c>
      <c r="D8" s="47" t="n">
        <v>0.12625</v>
      </c>
      <c r="E8" s="47" t="n">
        <v>0.12658</v>
      </c>
      <c r="F8" s="47" t="n">
        <v>0.124459</v>
      </c>
      <c r="G8" s="47" t="n">
        <v>0.119126</v>
      </c>
      <c r="H8" s="47" t="n">
        <v>0.10978</v>
      </c>
      <c r="I8" s="47" t="n">
        <v>0.095554</v>
      </c>
      <c r="J8" s="47" t="n">
        <v>0.075512</v>
      </c>
      <c r="K8" s="50" t="n">
        <f aca="false">AVERAGE(B8:J8)</f>
        <v>0.113899666666667</v>
      </c>
    </row>
    <row r="9" customFormat="false" ht="15" hidden="false" customHeight="true" outlineLevel="0" collapsed="false">
      <c r="A9" s="27" t="s">
        <v>34</v>
      </c>
      <c r="B9" s="47" t="n">
        <v>0.056223</v>
      </c>
      <c r="C9" s="47" t="n">
        <v>0.064453</v>
      </c>
      <c r="D9" s="47" t="n">
        <v>0.073211</v>
      </c>
      <c r="E9" s="47" t="n">
        <v>0.08222</v>
      </c>
      <c r="F9" s="47" t="n">
        <v>0.090517</v>
      </c>
      <c r="G9" s="47" t="n">
        <v>0.097477</v>
      </c>
      <c r="H9" s="47" t="n">
        <v>0.102397</v>
      </c>
      <c r="I9" s="47" t="n">
        <v>0.104337</v>
      </c>
      <c r="J9" s="47" t="n">
        <v>0.102075</v>
      </c>
      <c r="K9" s="50" t="n">
        <f aca="false">AVERAGE(B9:J9)</f>
        <v>0.0858788888888889</v>
      </c>
    </row>
    <row r="10" customFormat="false" ht="15" hidden="false" customHeight="true" outlineLevel="0" collapsed="false">
      <c r="A10" s="27" t="s">
        <v>35</v>
      </c>
      <c r="B10" s="47" t="n">
        <v>0.001633</v>
      </c>
      <c r="C10" s="47" t="n">
        <v>0.007251</v>
      </c>
      <c r="D10" s="47" t="n">
        <v>0.010119</v>
      </c>
      <c r="E10" s="47" t="n">
        <v>0.010913</v>
      </c>
      <c r="F10" s="47" t="n">
        <v>0.010331</v>
      </c>
      <c r="G10" s="47" t="n">
        <v>0.009002</v>
      </c>
      <c r="H10" s="47" t="n">
        <v>0.007077</v>
      </c>
      <c r="I10" s="47" t="n">
        <v>0.004608</v>
      </c>
      <c r="J10" s="47" t="n">
        <v>0.002016</v>
      </c>
      <c r="K10" s="50" t="n">
        <f aca="false">AVERAGE(B10:J10)</f>
        <v>0.00699444444444445</v>
      </c>
    </row>
    <row r="11" customFormat="false" ht="15" hidden="false" customHeight="true" outlineLevel="0" collapsed="false">
      <c r="A11" s="27" t="s">
        <v>36</v>
      </c>
      <c r="B11" s="47" t="n">
        <v>0.001411</v>
      </c>
      <c r="C11" s="47" t="n">
        <v>0.008925</v>
      </c>
      <c r="D11" s="47" t="n">
        <v>0.020853</v>
      </c>
      <c r="E11" s="47" t="n">
        <v>0.033466</v>
      </c>
      <c r="F11" s="47" t="n">
        <v>0.044411</v>
      </c>
      <c r="G11" s="47" t="n">
        <v>0.052852</v>
      </c>
      <c r="H11" s="47" t="n">
        <v>0.058394</v>
      </c>
      <c r="I11" s="47" t="n">
        <v>0.060526</v>
      </c>
      <c r="J11" s="47" t="n">
        <v>0.058432</v>
      </c>
      <c r="K11" s="50" t="n">
        <f aca="false">AVERAGE(B11:J11)</f>
        <v>0.0376966666666667</v>
      </c>
    </row>
    <row r="12" customFormat="false" ht="15" hidden="false" customHeight="true" outlineLevel="0" collapsed="false">
      <c r="A12" s="27" t="s">
        <v>37</v>
      </c>
      <c r="B12" s="47" t="n">
        <v>0.106766</v>
      </c>
      <c r="C12" s="47" t="n">
        <v>0.099342</v>
      </c>
      <c r="D12" s="47" t="n">
        <v>0.091244</v>
      </c>
      <c r="E12" s="47" t="n">
        <v>0.083034</v>
      </c>
      <c r="F12" s="47" t="n">
        <v>0.0739</v>
      </c>
      <c r="G12" s="47" t="n">
        <v>0.062827</v>
      </c>
      <c r="H12" s="47" t="n">
        <v>0.04856</v>
      </c>
      <c r="I12" s="47" t="n">
        <v>0.029807</v>
      </c>
      <c r="J12" s="47" t="n">
        <v>0.005235</v>
      </c>
      <c r="K12" s="50" t="n">
        <f aca="false">AVERAGE(B12:J12)</f>
        <v>0.0667461111111111</v>
      </c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true" outlineLevel="0" collapsed="false">
      <c r="A14" s="36" t="s">
        <v>419</v>
      </c>
      <c r="B14" s="3"/>
      <c r="C14" s="3"/>
      <c r="D14" s="3"/>
      <c r="E14" s="3"/>
      <c r="F14" s="3"/>
      <c r="G14" s="3"/>
      <c r="H14" s="3"/>
      <c r="I14" s="3"/>
      <c r="J14" s="3"/>
      <c r="K1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12"/>
    <col collapsed="false" customWidth="true" hidden="false" outlineLevel="0" max="4" min="4" style="1" width="13"/>
  </cols>
  <sheetData>
    <row r="1" customFormat="false" ht="17.25" hidden="false" customHeight="true" outlineLevel="0" collapsed="false">
      <c r="A1" s="2" t="s">
        <v>420</v>
      </c>
      <c r="B1" s="3"/>
      <c r="C1" s="3"/>
      <c r="D1" s="3"/>
    </row>
    <row r="2" customFormat="false" ht="30" hidden="false" customHeight="true" outlineLevel="0" collapsed="false">
      <c r="A2" s="35" t="s">
        <v>421</v>
      </c>
      <c r="B2" s="35"/>
      <c r="C2" s="35"/>
      <c r="D2" s="35"/>
    </row>
    <row r="3" customFormat="false" ht="15" hidden="false" customHeight="tru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6" t="s">
        <v>422</v>
      </c>
      <c r="B4" s="6" t="s">
        <v>423</v>
      </c>
      <c r="C4" s="6" t="s">
        <v>424</v>
      </c>
      <c r="D4" s="6" t="s">
        <v>425</v>
      </c>
    </row>
    <row r="5" customFormat="false" ht="15" hidden="false" customHeight="true" outlineLevel="0" collapsed="false">
      <c r="A5" s="27" t="s">
        <v>29</v>
      </c>
      <c r="B5" s="28" t="s">
        <v>30</v>
      </c>
      <c r="C5" s="55" t="s">
        <v>426</v>
      </c>
      <c r="D5" s="55" t="s">
        <v>426</v>
      </c>
    </row>
    <row r="6" customFormat="false" ht="15" hidden="false" customHeight="true" outlineLevel="0" collapsed="false">
      <c r="A6" s="27" t="s">
        <v>29</v>
      </c>
      <c r="B6" s="28" t="s">
        <v>31</v>
      </c>
      <c r="C6" s="55" t="s">
        <v>427</v>
      </c>
      <c r="D6" s="55" t="s">
        <v>426</v>
      </c>
    </row>
    <row r="7" customFormat="false" ht="15" hidden="false" customHeight="true" outlineLevel="0" collapsed="false">
      <c r="A7" s="27" t="s">
        <v>29</v>
      </c>
      <c r="B7" s="28" t="s">
        <v>32</v>
      </c>
      <c r="C7" s="55" t="s">
        <v>426</v>
      </c>
      <c r="D7" s="55" t="s">
        <v>426</v>
      </c>
    </row>
    <row r="8" customFormat="false" ht="15" hidden="false" customHeight="true" outlineLevel="0" collapsed="false">
      <c r="A8" s="27" t="s">
        <v>29</v>
      </c>
      <c r="B8" s="28" t="s">
        <v>35</v>
      </c>
      <c r="C8" s="55" t="s">
        <v>426</v>
      </c>
      <c r="D8" s="55" t="s">
        <v>426</v>
      </c>
    </row>
    <row r="9" customFormat="false" ht="15" hidden="false" customHeight="true" outlineLevel="0" collapsed="false">
      <c r="A9" s="27" t="s">
        <v>29</v>
      </c>
      <c r="B9" s="28" t="s">
        <v>36</v>
      </c>
      <c r="C9" s="55" t="s">
        <v>427</v>
      </c>
      <c r="D9" s="55" t="s">
        <v>426</v>
      </c>
    </row>
    <row r="10" customFormat="false" ht="15" hidden="false" customHeight="true" outlineLevel="0" collapsed="false">
      <c r="A10" s="27" t="s">
        <v>31</v>
      </c>
      <c r="B10" s="28" t="s">
        <v>35</v>
      </c>
      <c r="C10" s="55" t="s">
        <v>427</v>
      </c>
      <c r="D10" s="55" t="s">
        <v>426</v>
      </c>
    </row>
    <row r="11" customFormat="false" ht="15" hidden="false" customHeight="true" outlineLevel="0" collapsed="false">
      <c r="A11" s="27" t="s">
        <v>32</v>
      </c>
      <c r="B11" s="28" t="s">
        <v>30</v>
      </c>
      <c r="C11" s="55" t="s">
        <v>427</v>
      </c>
      <c r="D11" s="55" t="s">
        <v>426</v>
      </c>
    </row>
    <row r="12" customFormat="false" ht="15" hidden="false" customHeight="true" outlineLevel="0" collapsed="false">
      <c r="A12" s="27" t="s">
        <v>32</v>
      </c>
      <c r="B12" s="28" t="s">
        <v>35</v>
      </c>
      <c r="C12" s="55" t="s">
        <v>427</v>
      </c>
      <c r="D12" s="55" t="s">
        <v>426</v>
      </c>
    </row>
    <row r="13" customFormat="false" ht="15" hidden="false" customHeight="true" outlineLevel="0" collapsed="false">
      <c r="A13" s="27" t="s">
        <v>33</v>
      </c>
      <c r="B13" s="28" t="s">
        <v>30</v>
      </c>
      <c r="C13" s="55" t="s">
        <v>427</v>
      </c>
      <c r="D13" s="55" t="s">
        <v>426</v>
      </c>
    </row>
    <row r="14" customFormat="false" ht="15" hidden="false" customHeight="true" outlineLevel="0" collapsed="false">
      <c r="A14" s="27" t="s">
        <v>33</v>
      </c>
      <c r="B14" s="28" t="s">
        <v>31</v>
      </c>
      <c r="C14" s="55" t="s">
        <v>427</v>
      </c>
      <c r="D14" s="55" t="s">
        <v>426</v>
      </c>
    </row>
    <row r="15" customFormat="false" ht="15" hidden="false" customHeight="true" outlineLevel="0" collapsed="false">
      <c r="A15" s="27" t="s">
        <v>33</v>
      </c>
      <c r="B15" s="28" t="s">
        <v>32</v>
      </c>
      <c r="C15" s="55" t="s">
        <v>427</v>
      </c>
      <c r="D15" s="55" t="s">
        <v>426</v>
      </c>
    </row>
    <row r="16" customFormat="false" ht="15" hidden="false" customHeight="true" outlineLevel="0" collapsed="false">
      <c r="A16" s="27" t="s">
        <v>33</v>
      </c>
      <c r="B16" s="28" t="s">
        <v>35</v>
      </c>
      <c r="C16" s="55" t="s">
        <v>427</v>
      </c>
      <c r="D16" s="55" t="s">
        <v>426</v>
      </c>
    </row>
    <row r="17" customFormat="false" ht="15" hidden="false" customHeight="true" outlineLevel="0" collapsed="false">
      <c r="A17" s="27" t="s">
        <v>33</v>
      </c>
      <c r="B17" s="28" t="s">
        <v>36</v>
      </c>
      <c r="C17" s="55" t="s">
        <v>427</v>
      </c>
      <c r="D17" s="55" t="s">
        <v>426</v>
      </c>
    </row>
    <row r="18" customFormat="false" ht="15" hidden="false" customHeight="true" outlineLevel="0" collapsed="false">
      <c r="A18" s="27" t="s">
        <v>33</v>
      </c>
      <c r="B18" s="28" t="s">
        <v>37</v>
      </c>
      <c r="C18" s="55" t="s">
        <v>427</v>
      </c>
      <c r="D18" s="55" t="s">
        <v>426</v>
      </c>
    </row>
    <row r="19" customFormat="false" ht="15" hidden="false" customHeight="true" outlineLevel="0" collapsed="false">
      <c r="A19" s="27" t="s">
        <v>34</v>
      </c>
      <c r="B19" s="28" t="s">
        <v>29</v>
      </c>
      <c r="C19" s="55" t="s">
        <v>427</v>
      </c>
      <c r="D19" s="55" t="s">
        <v>426</v>
      </c>
    </row>
    <row r="20" customFormat="false" ht="15" hidden="false" customHeight="true" outlineLevel="0" collapsed="false">
      <c r="A20" s="27" t="s">
        <v>34</v>
      </c>
      <c r="B20" s="28" t="s">
        <v>30</v>
      </c>
      <c r="C20" s="55" t="s">
        <v>427</v>
      </c>
      <c r="D20" s="55" t="s">
        <v>426</v>
      </c>
    </row>
    <row r="21" customFormat="false" ht="15" hidden="false" customHeight="true" outlineLevel="0" collapsed="false">
      <c r="A21" s="27" t="s">
        <v>34</v>
      </c>
      <c r="B21" s="28" t="s">
        <v>31</v>
      </c>
      <c r="C21" s="55" t="s">
        <v>427</v>
      </c>
      <c r="D21" s="55" t="s">
        <v>426</v>
      </c>
    </row>
    <row r="22" customFormat="false" ht="15" hidden="false" customHeight="true" outlineLevel="0" collapsed="false">
      <c r="A22" s="27" t="s">
        <v>34</v>
      </c>
      <c r="B22" s="28" t="s">
        <v>32</v>
      </c>
      <c r="C22" s="55" t="s">
        <v>427</v>
      </c>
      <c r="D22" s="55" t="s">
        <v>426</v>
      </c>
    </row>
    <row r="23" customFormat="false" ht="15" hidden="false" customHeight="true" outlineLevel="0" collapsed="false">
      <c r="A23" s="27" t="s">
        <v>34</v>
      </c>
      <c r="B23" s="28" t="s">
        <v>35</v>
      </c>
      <c r="C23" s="55" t="s">
        <v>427</v>
      </c>
      <c r="D23" s="55" t="s">
        <v>426</v>
      </c>
    </row>
    <row r="24" customFormat="false" ht="15" hidden="false" customHeight="true" outlineLevel="0" collapsed="false">
      <c r="A24" s="27" t="s">
        <v>34</v>
      </c>
      <c r="B24" s="28" t="s">
        <v>36</v>
      </c>
      <c r="C24" s="55" t="s">
        <v>427</v>
      </c>
      <c r="D24" s="55" t="s">
        <v>426</v>
      </c>
    </row>
    <row r="25" customFormat="false" ht="15" hidden="false" customHeight="true" outlineLevel="0" collapsed="false">
      <c r="A25" s="27" t="s">
        <v>37</v>
      </c>
      <c r="B25" s="28" t="s">
        <v>31</v>
      </c>
      <c r="C25" s="55" t="s">
        <v>427</v>
      </c>
      <c r="D25" s="55" t="s">
        <v>426</v>
      </c>
    </row>
    <row r="26" customFormat="false" ht="15" hidden="false" customHeight="true" outlineLevel="0" collapsed="false">
      <c r="A26" s="27" t="s">
        <v>37</v>
      </c>
      <c r="B26" s="28" t="s">
        <v>35</v>
      </c>
      <c r="C26" s="55" t="s">
        <v>427</v>
      </c>
      <c r="D26" s="55" t="s">
        <v>426</v>
      </c>
    </row>
    <row r="27" customFormat="false" ht="15" hidden="false" customHeight="true" outlineLevel="0" collapsed="false">
      <c r="A27" s="3"/>
      <c r="B27" s="3"/>
      <c r="C27" s="3"/>
      <c r="D27" s="3"/>
    </row>
    <row r="28" customFormat="false" ht="15" hidden="false" customHeight="true" outlineLevel="0" collapsed="false">
      <c r="A28" s="36" t="s">
        <v>428</v>
      </c>
      <c r="B28" s="3"/>
      <c r="C28" s="3"/>
      <c r="D28" s="3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8"/>
    <col collapsed="false" customWidth="true" hidden="false" outlineLevel="0" max="3" min="3" style="1" width="28"/>
    <col collapsed="false" customWidth="true" hidden="false" outlineLevel="0" max="4" min="4" style="1" width="42"/>
  </cols>
  <sheetData>
    <row r="1" customFormat="false" ht="17.25" hidden="false" customHeight="true" outlineLevel="0" collapsed="false">
      <c r="A1" s="2" t="s">
        <v>429</v>
      </c>
      <c r="B1" s="3"/>
      <c r="C1" s="3"/>
      <c r="D1" s="3"/>
    </row>
    <row r="2" customFormat="false" ht="15" hidden="false" customHeight="true" outlineLevel="0" collapsed="false">
      <c r="A2" s="3"/>
      <c r="B2" s="3"/>
      <c r="C2" s="3"/>
      <c r="D2" s="3"/>
    </row>
    <row r="3" customFormat="false" ht="15" hidden="false" customHeight="true" outlineLevel="0" collapsed="false">
      <c r="A3" s="6" t="s">
        <v>430</v>
      </c>
      <c r="B3" s="6" t="s">
        <v>431</v>
      </c>
      <c r="C3" s="6" t="s">
        <v>432</v>
      </c>
      <c r="D3" s="6" t="s">
        <v>433</v>
      </c>
    </row>
    <row r="4" customFormat="false" ht="15" hidden="false" customHeight="true" outlineLevel="0" collapsed="false">
      <c r="A4" s="27" t="s">
        <v>434</v>
      </c>
      <c r="B4" s="28" t="s">
        <v>435</v>
      </c>
      <c r="C4" s="49" t="n">
        <f aca="false">Answers!B8</f>
        <v>0.396272</v>
      </c>
      <c r="D4" s="40" t="s">
        <v>297</v>
      </c>
    </row>
    <row r="5" customFormat="false" ht="15" hidden="false" customHeight="true" outlineLevel="0" collapsed="false">
      <c r="A5" s="27" t="s">
        <v>436</v>
      </c>
      <c r="B5" s="28" t="s">
        <v>437</v>
      </c>
      <c r="C5" s="56" t="n">
        <f aca="false">Answers!B6</f>
        <v>0.449553144607253</v>
      </c>
      <c r="D5" s="40" t="s">
        <v>438</v>
      </c>
    </row>
    <row r="6" customFormat="false" ht="15" hidden="false" customHeight="true" outlineLevel="0" collapsed="false">
      <c r="A6" s="27" t="s">
        <v>439</v>
      </c>
      <c r="B6" s="28" t="s">
        <v>440</v>
      </c>
      <c r="C6" s="49" t="n">
        <f aca="false">Dominance_General!D8</f>
        <v>0.1139</v>
      </c>
      <c r="D6" s="40" t="s">
        <v>441</v>
      </c>
    </row>
    <row r="7" customFormat="false" ht="15" hidden="false" customHeight="true" outlineLevel="0" collapsed="false">
      <c r="A7" s="27" t="s">
        <v>442</v>
      </c>
      <c r="B7" s="28" t="s">
        <v>443</v>
      </c>
      <c r="C7" s="49" t="n">
        <f aca="false">Dominance_General!D9</f>
        <v>0.085879</v>
      </c>
      <c r="D7" s="40" t="s">
        <v>441</v>
      </c>
    </row>
    <row r="8" customFormat="false" ht="15" hidden="false" customHeight="true" outlineLevel="0" collapsed="false">
      <c r="A8" s="27" t="s">
        <v>444</v>
      </c>
      <c r="B8" s="28" t="s">
        <v>445</v>
      </c>
      <c r="C8" s="49" t="n">
        <f aca="false">Dominance_General!D4</f>
        <v>0.080729</v>
      </c>
      <c r="D8" s="40" t="s">
        <v>441</v>
      </c>
    </row>
    <row r="9" customFormat="false" ht="15" hidden="false" customHeight="true" outlineLevel="0" collapsed="false">
      <c r="A9" s="27" t="s">
        <v>446</v>
      </c>
      <c r="B9" s="28" t="s">
        <v>447</v>
      </c>
      <c r="C9" s="49" t="n">
        <f aca="false">SUM(C6:C8)/C5</f>
        <v>0.623970721515168</v>
      </c>
      <c r="D9" s="40" t="s">
        <v>448</v>
      </c>
    </row>
    <row r="10" customFormat="false" ht="15" hidden="false" customHeight="true" outlineLevel="0" collapsed="false">
      <c r="A10" s="27" t="s">
        <v>449</v>
      </c>
      <c r="B10" s="28" t="s">
        <v>450</v>
      </c>
      <c r="C10" s="49" t="n">
        <f aca="false">Dominance_General!D12</f>
        <v>0.066746</v>
      </c>
      <c r="D10" s="40" t="s">
        <v>441</v>
      </c>
    </row>
    <row r="11" customFormat="false" ht="15" hidden="false" customHeight="true" outlineLevel="0" collapsed="false">
      <c r="A11" s="27" t="s">
        <v>451</v>
      </c>
      <c r="B11" s="28" t="s">
        <v>452</v>
      </c>
      <c r="C11" s="49" t="n">
        <f aca="false">Dominance_General!D11+Dominance_General!D7+Dominance_General!D6+Dominance_General!D5+Dominance_General!D10</f>
        <v>0.102299</v>
      </c>
      <c r="D11" s="40" t="s">
        <v>453</v>
      </c>
    </row>
    <row r="12" customFormat="false" ht="15" hidden="false" customHeight="true" outlineLevel="0" collapsed="false">
      <c r="A12" s="27" t="s">
        <v>454</v>
      </c>
      <c r="B12" s="28" t="s">
        <v>455</v>
      </c>
      <c r="C12" s="49" t="n">
        <f aca="false">1-C5</f>
        <v>0.550446855392747</v>
      </c>
      <c r="D12" s="40" t="s">
        <v>456</v>
      </c>
    </row>
    <row r="13" customFormat="false" ht="15" hidden="false" customHeight="true" outlineLevel="0" collapsed="false">
      <c r="A13" s="27" t="s">
        <v>457</v>
      </c>
      <c r="B13" s="28" t="s">
        <v>458</v>
      </c>
      <c r="C13" s="49" t="n">
        <f aca="false">C6+C7+C8+C10+C11+C12</f>
        <v>0.999999855392747</v>
      </c>
      <c r="D13" s="40" t="s">
        <v>459</v>
      </c>
    </row>
    <row r="14" customFormat="false" ht="15" hidden="false" customHeight="true" outlineLevel="0" collapsed="false">
      <c r="A14" s="27" t="s">
        <v>460</v>
      </c>
      <c r="B14" s="28" t="s">
        <v>461</v>
      </c>
      <c r="C14" s="49" t="str">
        <f aca="false">Model_OLS!I8&amp;", "&amp;Model_OLS!I9&amp;", "&amp;Model_OLS!I4</f>
        <v>positive, positive, positive</v>
      </c>
      <c r="D14" s="40" t="s">
        <v>462</v>
      </c>
    </row>
    <row r="15" customFormat="false" ht="15" hidden="false" customHeight="true" outlineLevel="0" collapsed="false">
      <c r="A15" s="3"/>
      <c r="B15" s="3"/>
      <c r="C15" s="3"/>
      <c r="D15" s="3"/>
    </row>
    <row r="16" customFormat="false" ht="15" hidden="false" customHeight="true" outlineLevel="0" collapsed="false">
      <c r="A16" s="36" t="s">
        <v>463</v>
      </c>
      <c r="B16" s="3"/>
      <c r="C16" s="3"/>
      <c r="D1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3" min="3" style="1" width="24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464</v>
      </c>
      <c r="B1" s="3"/>
      <c r="C1" s="3"/>
      <c r="D1" s="3"/>
    </row>
    <row r="2" customFormat="false" ht="15" hidden="false" customHeight="true" outlineLevel="0" collapsed="false">
      <c r="A2" s="3"/>
      <c r="B2" s="3"/>
      <c r="C2" s="3"/>
      <c r="D2" s="3"/>
    </row>
    <row r="3" customFormat="false" ht="43.5" hidden="false" customHeight="true" outlineLevel="0" collapsed="false">
      <c r="A3" s="26" t="s">
        <v>465</v>
      </c>
      <c r="B3" s="26"/>
      <c r="C3" s="26"/>
      <c r="D3" s="26"/>
    </row>
    <row r="4" customFormat="false" ht="15" hidden="false" customHeight="true" outlineLevel="0" collapsed="false">
      <c r="A4" s="3"/>
      <c r="B4" s="3"/>
      <c r="C4" s="3"/>
      <c r="D4" s="3"/>
    </row>
    <row r="5" customFormat="false" ht="15" hidden="false" customHeight="true" outlineLevel="0" collapsed="false">
      <c r="A5" s="6" t="s">
        <v>286</v>
      </c>
      <c r="B5" s="6" t="s">
        <v>466</v>
      </c>
      <c r="C5" s="6" t="s">
        <v>467</v>
      </c>
      <c r="D5" s="6" t="s">
        <v>468</v>
      </c>
    </row>
    <row r="6" customFormat="false" ht="15" hidden="false" customHeight="true" outlineLevel="0" collapsed="false">
      <c r="A6" s="27" t="s">
        <v>293</v>
      </c>
      <c r="B6" s="56" t="n">
        <f aca="false">Answers!B6</f>
        <v>0.449553144607253</v>
      </c>
      <c r="C6" s="47" t="n">
        <v>0.5336</v>
      </c>
      <c r="D6" s="57" t="n">
        <f aca="false">B6-C6</f>
        <v>-0.0840468553927472</v>
      </c>
    </row>
    <row r="7" customFormat="false" ht="15" hidden="false" customHeight="true" outlineLevel="0" collapsed="false">
      <c r="A7" s="27" t="s">
        <v>295</v>
      </c>
      <c r="B7" s="56" t="n">
        <f aca="false">Answers!B7</f>
        <v>0.428199602803224</v>
      </c>
      <c r="C7" s="47" t="n">
        <v>0.5092</v>
      </c>
      <c r="D7" s="57" t="n">
        <f aca="false">B7-C7</f>
        <v>-0.0810003971967762</v>
      </c>
    </row>
    <row r="8" customFormat="false" ht="15" hidden="false" customHeight="true" outlineLevel="0" collapsed="false">
      <c r="A8" s="27" t="s">
        <v>469</v>
      </c>
      <c r="B8" s="56" t="n">
        <f aca="false">Answers!B8</f>
        <v>0.396272</v>
      </c>
      <c r="C8" s="47" t="n">
        <v>0.4779</v>
      </c>
      <c r="D8" s="57" t="n">
        <f aca="false">B8-C8</f>
        <v>-0.081628</v>
      </c>
    </row>
    <row r="9" customFormat="false" ht="15" hidden="false" customHeight="true" outlineLevel="0" collapsed="false">
      <c r="A9" s="3"/>
      <c r="B9" s="3"/>
      <c r="C9" s="3"/>
      <c r="D9" s="3"/>
    </row>
    <row r="10" customFormat="false" ht="15" hidden="false" customHeight="true" outlineLevel="0" collapsed="false">
      <c r="A10" s="25" t="s">
        <v>470</v>
      </c>
      <c r="B10" s="3"/>
      <c r="C10" s="3"/>
      <c r="D10" s="3"/>
    </row>
    <row r="11" customFormat="false" ht="15" hidden="false" customHeight="true" outlineLevel="0" collapsed="false">
      <c r="A11" s="6" t="s">
        <v>316</v>
      </c>
      <c r="B11" s="6" t="s">
        <v>471</v>
      </c>
      <c r="C11" s="6" t="s">
        <v>472</v>
      </c>
      <c r="D11" s="6" t="s">
        <v>473</v>
      </c>
    </row>
    <row r="12" customFormat="false" ht="15" hidden="false" customHeight="true" outlineLevel="0" collapsed="false">
      <c r="A12" s="27" t="s">
        <v>474</v>
      </c>
      <c r="B12" s="40" t="s">
        <v>475</v>
      </c>
      <c r="C12" s="58" t="n">
        <v>0.175</v>
      </c>
      <c r="D12" s="46"/>
    </row>
    <row r="13" customFormat="false" ht="15" hidden="false" customHeight="true" outlineLevel="0" collapsed="false">
      <c r="A13" s="27" t="s">
        <v>33</v>
      </c>
      <c r="B13" s="49" t="n">
        <f aca="false">Dominance_General!E8</f>
        <v>0.253362703311769</v>
      </c>
      <c r="C13" s="58" t="n">
        <v>0.1774</v>
      </c>
      <c r="D13" s="40" t="s">
        <v>476</v>
      </c>
    </row>
    <row r="14" customFormat="false" ht="15" hidden="false" customHeight="true" outlineLevel="0" collapsed="false">
      <c r="A14" s="27" t="s">
        <v>34</v>
      </c>
      <c r="B14" s="49" t="n">
        <f aca="false">Dominance_General!E9</f>
        <v>0.191031919207299</v>
      </c>
      <c r="C14" s="58" t="n">
        <v>0.1657</v>
      </c>
      <c r="D14" s="46"/>
    </row>
    <row r="15" customFormat="false" ht="15" hidden="false" customHeight="true" outlineLevel="0" collapsed="false">
      <c r="A15" s="27" t="s">
        <v>29</v>
      </c>
      <c r="B15" s="49" t="n">
        <f aca="false">Dominance_General!E4</f>
        <v>0.1795760989961</v>
      </c>
      <c r="C15" s="58" t="n">
        <v>0.1195</v>
      </c>
      <c r="D15" s="46"/>
    </row>
    <row r="16" customFormat="false" ht="15" hidden="false" customHeight="true" outlineLevel="0" collapsed="false">
      <c r="A16" s="27" t="s">
        <v>37</v>
      </c>
      <c r="B16" s="49" t="n">
        <f aca="false">Dominance_General!E12</f>
        <v>0.148471878799362</v>
      </c>
      <c r="C16" s="58" t="n">
        <v>0.0815</v>
      </c>
      <c r="D16" s="46"/>
    </row>
    <row r="17" customFormat="false" ht="15" hidden="false" customHeight="true" outlineLevel="0" collapsed="false">
      <c r="A17" s="27" t="s">
        <v>36</v>
      </c>
      <c r="B17" s="49" t="n">
        <f aca="false">Dominance_General!E11</f>
        <v>0.0838543795148704</v>
      </c>
      <c r="C17" s="58" t="n">
        <v>0.0613</v>
      </c>
      <c r="D17" s="46"/>
    </row>
    <row r="18" customFormat="false" ht="15" hidden="false" customHeight="true" outlineLevel="0" collapsed="false">
      <c r="A18" s="27" t="s">
        <v>32</v>
      </c>
      <c r="B18" s="49" t="n">
        <f aca="false">Dominance_General!E7</f>
        <v>0.0578663508687651</v>
      </c>
      <c r="C18" s="58" t="n">
        <v>0.0531</v>
      </c>
      <c r="D18" s="46"/>
    </row>
    <row r="19" customFormat="false" ht="15" hidden="false" customHeight="true" outlineLevel="0" collapsed="false">
      <c r="A19" s="27" t="s">
        <v>477</v>
      </c>
      <c r="B19" s="40" t="s">
        <v>475</v>
      </c>
      <c r="C19" s="58" t="n">
        <v>0.0502</v>
      </c>
      <c r="D19" s="46"/>
    </row>
    <row r="20" customFormat="false" ht="15" hidden="false" customHeight="true" outlineLevel="0" collapsed="false">
      <c r="A20" s="27" t="s">
        <v>478</v>
      </c>
      <c r="B20" s="40" t="s">
        <v>475</v>
      </c>
      <c r="C20" s="58" t="n">
        <v>0.046</v>
      </c>
      <c r="D20" s="46"/>
    </row>
    <row r="21" customFormat="false" ht="15" hidden="false" customHeight="true" outlineLevel="0" collapsed="false">
      <c r="A21" s="27" t="s">
        <v>30</v>
      </c>
      <c r="B21" s="49" t="n">
        <f aca="false">Dominance_General!E5</f>
        <v>0.0314801490541541</v>
      </c>
      <c r="C21" s="58" t="n">
        <v>0.0384</v>
      </c>
      <c r="D21" s="46"/>
    </row>
    <row r="22" customFormat="false" ht="15" hidden="false" customHeight="true" outlineLevel="0" collapsed="false">
      <c r="A22" s="27" t="s">
        <v>31</v>
      </c>
      <c r="B22" s="49" t="n">
        <f aca="false">Dominance_General!E6</f>
        <v>0.0387985274026679</v>
      </c>
      <c r="C22" s="58" t="n">
        <v>0.0239</v>
      </c>
      <c r="D22" s="46"/>
    </row>
    <row r="23" customFormat="false" ht="15" hidden="false" customHeight="true" outlineLevel="0" collapsed="false">
      <c r="A23" s="27" t="s">
        <v>35</v>
      </c>
      <c r="B23" s="49" t="n">
        <f aca="false">Dominance_General!E10</f>
        <v>0.0155576711761414</v>
      </c>
      <c r="C23" s="58" t="n">
        <v>0.008</v>
      </c>
      <c r="D23" s="46"/>
    </row>
    <row r="24" customFormat="false" ht="15" hidden="false" customHeight="true" outlineLevel="0" collapsed="false">
      <c r="A24" s="3"/>
      <c r="B24" s="3"/>
      <c r="C24" s="3"/>
      <c r="D24" s="3"/>
    </row>
    <row r="25" customFormat="false" ht="15" hidden="false" customHeight="true" outlineLevel="0" collapsed="false">
      <c r="A25" s="36" t="s">
        <v>479</v>
      </c>
      <c r="B25" s="3"/>
      <c r="C25" s="3"/>
      <c r="D25" s="3"/>
    </row>
  </sheetData>
  <mergeCells count="1"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6"/>
    <col collapsed="false" customWidth="true" hidden="false" outlineLevel="0" max="4" min="4" style="1" width="18"/>
    <col collapsed="false" customWidth="true" hidden="false" outlineLevel="0" max="5" min="5" style="1" width="32"/>
  </cols>
  <sheetData>
    <row r="1" customFormat="false" ht="17.25" hidden="false" customHeight="true" outlineLevel="0" collapsed="false">
      <c r="A1" s="2" t="s">
        <v>480</v>
      </c>
    </row>
    <row r="3" customFormat="false" ht="18" hidden="false" customHeight="true" outlineLevel="0" collapsed="false">
      <c r="A3" s="4" t="s">
        <v>481</v>
      </c>
      <c r="B3" s="26" t="s">
        <v>482</v>
      </c>
      <c r="C3" s="26"/>
      <c r="D3" s="26"/>
      <c r="E3" s="26"/>
    </row>
    <row r="4" customFormat="false" ht="84" hidden="false" customHeight="true" outlineLevel="0" collapsed="false">
      <c r="A4" s="4" t="s">
        <v>483</v>
      </c>
      <c r="B4" s="26" t="s">
        <v>484</v>
      </c>
      <c r="C4" s="26"/>
      <c r="D4" s="26"/>
      <c r="E4" s="26"/>
    </row>
    <row r="5" customFormat="false" ht="84" hidden="false" customHeight="true" outlineLevel="0" collapsed="false">
      <c r="A5" s="4" t="s">
        <v>485</v>
      </c>
      <c r="B5" s="26" t="s">
        <v>486</v>
      </c>
      <c r="C5" s="26"/>
      <c r="D5" s="26"/>
      <c r="E5" s="26"/>
    </row>
    <row r="6" customFormat="false" ht="69.75" hidden="false" customHeight="true" outlineLevel="0" collapsed="false">
      <c r="A6" s="4" t="s">
        <v>487</v>
      </c>
      <c r="B6" s="26" t="s">
        <v>488</v>
      </c>
      <c r="C6" s="26"/>
      <c r="D6" s="26"/>
      <c r="E6" s="26"/>
    </row>
    <row r="7" customFormat="false" ht="27.75" hidden="false" customHeight="true" outlineLevel="0" collapsed="false">
      <c r="A7" s="4" t="s">
        <v>489</v>
      </c>
      <c r="B7" s="26" t="s">
        <v>490</v>
      </c>
      <c r="C7" s="26"/>
      <c r="D7" s="26"/>
      <c r="E7" s="26"/>
    </row>
    <row r="9" customFormat="false" ht="15" hidden="false" customHeight="true" outlineLevel="0" collapsed="false">
      <c r="A9" s="25" t="s">
        <v>491</v>
      </c>
      <c r="B9" s="59" t="n">
        <f aca="false">INDEX(LINEST(Data!$J$2:$J$243,Data!$Q$2:$R$243,TRUE(),TRUE()),3,1)</f>
        <v>0.999621010898333</v>
      </c>
    </row>
    <row r="11" customFormat="false" ht="23.25" hidden="false" customHeight="true" outlineLevel="0" collapsed="false">
      <c r="A11" s="6" t="s">
        <v>492</v>
      </c>
      <c r="B11" s="6" t="s">
        <v>293</v>
      </c>
      <c r="C11" s="6" t="s">
        <v>469</v>
      </c>
      <c r="D11" s="6" t="s">
        <v>493</v>
      </c>
      <c r="E11" s="6" t="s">
        <v>494</v>
      </c>
    </row>
    <row r="12" customFormat="false" ht="15" hidden="false" customHeight="true" outlineLevel="0" collapsed="false">
      <c r="A12" s="41" t="s">
        <v>495</v>
      </c>
      <c r="B12" s="60" t="n">
        <v>0.4496</v>
      </c>
      <c r="C12" s="60" t="n">
        <v>0.3963</v>
      </c>
      <c r="D12" s="61" t="n">
        <v>0.026</v>
      </c>
      <c r="E12" s="62" t="s">
        <v>496</v>
      </c>
    </row>
    <row r="13" customFormat="false" ht="15" hidden="false" customHeight="true" outlineLevel="0" collapsed="false">
      <c r="A13" s="27" t="s">
        <v>497</v>
      </c>
      <c r="B13" s="47" t="n">
        <v>0.4486</v>
      </c>
      <c r="C13" s="47" t="n">
        <v>0.3897</v>
      </c>
      <c r="D13" s="58" t="n">
        <v>0.0309</v>
      </c>
      <c r="E13" s="55" t="s">
        <v>496</v>
      </c>
    </row>
    <row r="14" customFormat="false" ht="15" hidden="false" customHeight="true" outlineLevel="0" collapsed="false">
      <c r="A14" s="27" t="s">
        <v>498</v>
      </c>
      <c r="B14" s="47" t="n">
        <v>0.4803</v>
      </c>
      <c r="C14" s="47" t="n">
        <v>0.4222</v>
      </c>
      <c r="D14" s="58" t="n">
        <v>0.0813</v>
      </c>
      <c r="E14" s="55" t="s">
        <v>496</v>
      </c>
    </row>
    <row r="15" customFormat="false" ht="15" hidden="false" customHeight="true" outlineLevel="0" collapsed="false">
      <c r="A15" s="27" t="s">
        <v>499</v>
      </c>
      <c r="B15" s="47" t="n">
        <v>0.4117</v>
      </c>
      <c r="C15" s="47" t="n">
        <v>0.3579</v>
      </c>
      <c r="D15" s="58" t="n">
        <v>0</v>
      </c>
      <c r="E15" s="55" t="s">
        <v>500</v>
      </c>
    </row>
    <row r="17" customFormat="false" ht="15" hidden="false" customHeight="true" outlineLevel="0" collapsed="false">
      <c r="A17" s="36" t="s">
        <v>501</v>
      </c>
    </row>
  </sheetData>
  <mergeCells count="5">
    <mergeCell ref="B3:E3"/>
    <mergeCell ref="B4:E4"/>
    <mergeCell ref="B5:E5"/>
    <mergeCell ref="B6:E6"/>
    <mergeCell ref="B7:E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2026-10-27T16:59:44Z</dcterms:created>
  <dc:creator>openpyxl</dc:creator>
  <dc:description/>
  <dc:language>en-US</dc:language>
  <cp:lastModifiedBy/>
  <dcterms:modified xsi:type="dcterms:W3CDTF">2026-10-27T17:24:44Z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